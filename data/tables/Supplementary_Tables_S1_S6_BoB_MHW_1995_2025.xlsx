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6c5774d66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_QC" sheetId="1" r:id="Refa2b3f7cda24a0d"/>
    <x:sheet xmlns:r="http://schemas.openxmlformats.org/officeDocument/2006/relationships" name="01_Reviewer_Summary" sheetId="2" r:id="Raa4363120208475b"/>
    <x:sheet xmlns:r="http://schemas.openxmlformats.org/officeDocument/2006/relationships" name="S1_Datasets" sheetId="3" r:id="Rb895a2b918524279"/>
    <x:sheet xmlns:r="http://schemas.openxmlformats.org/officeDocument/2006/relationships" name="S2_Chronology" sheetId="4" r:id="R32c9c8f9379047df"/>
    <x:sheet xmlns:r="http://schemas.openxmlformats.org/officeDocument/2006/relationships" name="S3_Persistence" sheetId="5" r:id="R7c1c718d65fb44d6"/>
    <x:sheet xmlns:r="http://schemas.openxmlformats.org/officeDocument/2006/relationships" name="S4_BGC_Composites" sheetId="6" r:id="Rd97ee479fe2349a4"/>
    <x:sheet xmlns:r="http://schemas.openxmlformats.org/officeDocument/2006/relationships" name="S5_Teleconnections" sheetId="7" r:id="R04c90cd8bf1f4140"/>
    <x:sheet xmlns:r="http://schemas.openxmlformats.org/officeDocument/2006/relationships" name="S6_Trends_Regime" sheetId="8" r:id="R36f20e71b0c64730"/>
    <x:sheet xmlns:r="http://schemas.openxmlformats.org/officeDocument/2006/relationships" name="Data_Dictionary" sheetId="9" r:id="R3db80b6f0db1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8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i/>
      <x:sz val="10"/>
      <x:color rgb="334155"/>
      <x:name val="Carlito"/>
    </x:font>
    <x:font>
      <x:b/>
      <x:sz val="10"/>
      <x:color rgb="FFFFFF"/>
      <x:name val="Carlito"/>
    </x:font>
    <x:font>
      <x:sz val="9"/>
      <x:color rgb="111827"/>
      <x:name val="Carlito"/>
    </x:font>
    <x:font>
      <x:sz val="8"/>
      <x:color rgb="64748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1F4E79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166534"/>
      </x:patternFill>
    </x:fill>
    <x:fill>
      <x:patternFill patternType="solid">
        <x:fgColor rgb="6D28D9"/>
      </x:patternFill>
    </x:fill>
    <x:fill>
      <x:patternFill patternType="solid">
        <x:fgColor rgb="B45309"/>
      </x:patternFill>
    </x:fill>
    <x:fill>
      <x:patternFill patternType="solid">
        <x:fgColor rgb="2563EB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wrapText="1"/>
    </x:xf>
    <x:xf numFmtId="0" fontId="5" fillId="10" borderId="1" xfId="0" applyNumberFormat="1" applyFont="1" applyFill="1" applyBorder="1" applyAlignment="1">
      <x:alignment horizont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475569"/>
      </x:font>
      <x:fill>
        <x:patternFill patternType="solid">
          <x:bgColor rgb="F1F5F9"/>
        </x:patternFill>
      </x:fill>
    </x:dxf>
    <x:dxf>
      <x:font>
        <x:color rgb="B91C1C"/>
      </x:font>
    </x:dxf>
    <x:dxf>
      <x:font>
        <x:color rgb="16653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7c56bd5a840d4" /><Relationship Type="http://schemas.openxmlformats.org/officeDocument/2006/relationships/theme" Target="/xl/theme/theme1.xml" Id="R26ab4169190b4f2a" /><Relationship Type="http://schemas.openxmlformats.org/officeDocument/2006/relationships/sharedStrings" Target="/xl/sharedStrings.xml" Id="R5cfc9ce2dc744e1d" /><Relationship Type="http://schemas.openxmlformats.org/officeDocument/2006/relationships/worksheet" Target="/xl/worksheets/sheet1.xml" Id="Refa2b3f7cda24a0d" /><Relationship Type="http://schemas.openxmlformats.org/officeDocument/2006/relationships/worksheet" Target="/xl/worksheets/sheet2.xml" Id="Raa4363120208475b" /><Relationship Type="http://schemas.openxmlformats.org/officeDocument/2006/relationships/worksheet" Target="/xl/worksheets/sheet3.xml" Id="Rb895a2b918524279" /><Relationship Type="http://schemas.openxmlformats.org/officeDocument/2006/relationships/worksheet" Target="/xl/worksheets/sheet4.xml" Id="R32c9c8f9379047df" /><Relationship Type="http://schemas.openxmlformats.org/officeDocument/2006/relationships/worksheet" Target="/xl/worksheets/sheet5.xml" Id="R7c1c718d65fb44d6" /><Relationship Type="http://schemas.openxmlformats.org/officeDocument/2006/relationships/worksheet" Target="/xl/worksheets/sheet6.xml" Id="Rd97ee479fe2349a4" /><Relationship Type="http://schemas.openxmlformats.org/officeDocument/2006/relationships/worksheet" Target="/xl/worksheets/sheet7.xml" Id="R04c90cd8bf1f4140" /><Relationship Type="http://schemas.openxmlformats.org/officeDocument/2006/relationships/worksheet" Target="/xl/worksheets/sheet8.xml" Id="R36f20e71b0c64730" /><Relationship Type="http://schemas.openxmlformats.org/officeDocument/2006/relationships/worksheet" Target="/xl/worksheets/sheet9.xml" Id="R3db80b6f0db147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ede0b439cd42a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bfe3ff5dbc04b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BGC Composite Delta by Variable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Sub-basin</c:v>
          </c:tx>
          <c:cat>
            <c:strRef>
              <c:f>'S4_BGC_Composites'!$A$5:$A$52</c:f>
              <c:strCache>
                <c:ptCount val="0"/>
              </c:strCache>
            </c:strRef>
          </c:cat>
          <c:val>
            <c:numRef>
              <c:f>'S4_BGC_Composites'!$B$5:$B$52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Season</c:v>
          </c:tx>
          <c:cat>
            <c:strRef>
              <c:f>'S4_BGC_Composites'!$A$5:$A$52</c:f>
              <c:strCache>
                <c:ptCount val="0"/>
              </c:strCache>
            </c:strRef>
          </c:cat>
          <c:val>
            <c:numRef>
              <c:f>'S4_BGC_Composites'!$C$5:$C$52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nMHW</c:v>
          </c:tx>
          <c:cat>
            <c:strRef>
              <c:f>'S4_BGC_Composites'!$A$5:$A$52</c:f>
              <c:strCache>
                <c:ptCount val="0"/>
              </c:strCache>
            </c:strRef>
          </c:cat>
          <c:val>
            <c:numRef>
              <c:f>'S4_BGC_Composites'!$D$5:$D$52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nNon</c:v>
          </c:tx>
          <c:cat>
            <c:strRef>
              <c:f>'S4_BGC_Composites'!$A$5:$A$52</c:f>
              <c:strCache>
                <c:ptCount val="0"/>
              </c:strCache>
            </c:strRef>
          </c:cat>
          <c:val>
            <c:numRef>
              <c:f>'S4_BGC_Composites'!$E$5:$E$52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MHW mean</c:v>
          </c:tx>
          <c:cat>
            <c:strRef>
              <c:f>'S4_BGC_Composites'!$A$5:$A$52</c:f>
              <c:strCache>
                <c:ptCount val="0"/>
              </c:strCache>
            </c:strRef>
          </c:cat>
          <c:val>
            <c:numRef>
              <c:f>'S4_BGC_Composites'!$F$5:$F$52</c:f>
              <c:numCache>
                <c:formatCode/>
                <c:ptCount val="0"/>
              </c:numCache>
            </c:numRef>
          </c:val>
        </c:ser>
        <c:ser>
          <c:idx val="5"/>
          <c:order val="5"/>
          <c:tx>
            <c:v>Non-MHW mean</c:v>
          </c:tx>
          <c:cat>
            <c:strRef>
              <c:f>'S4_BGC_Composites'!$A$5:$A$52</c:f>
              <c:strCache>
                <c:ptCount val="0"/>
              </c:strCache>
            </c:strRef>
          </c:cat>
          <c:val>
            <c:numRef>
              <c:f>'S4_BGC_Composites'!$G$5:$G$52</c:f>
              <c:numCache>
                <c:formatCode/>
                <c:ptCount val="0"/>
              </c:numCache>
            </c:numRef>
          </c:val>
        </c:ser>
        <c:ser>
          <c:idx val="6"/>
          <c:order val="6"/>
          <c:tx>
            <c:v>Delta</c:v>
          </c:tx>
          <c:cat>
            <c:strRef>
              <c:f>'S4_BGC_Composites'!$A$5:$A$52</c:f>
              <c:strCache>
                <c:ptCount val="0"/>
              </c:strCache>
            </c:strRef>
          </c:cat>
          <c:val>
            <c:numRef>
              <c:f>'S4_BGC_Composites'!$H$5:$H$52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Sen Slope per Decade by Region and Metric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Metric</c:v>
          </c:tx>
          <c:cat>
            <c:strRef>
              <c:f>'S6_Trends_Regime'!$A$5:$A$20</c:f>
              <c:strCache>
                <c:ptCount val="0"/>
              </c:strCache>
            </c:strRef>
          </c:cat>
          <c:val>
            <c:numRef>
              <c:f>'S6_Trends_Regime'!$B$5:$B$20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MK tau</c:v>
          </c:tx>
          <c:cat>
            <c:strRef>
              <c:f>'S6_Trends_Regime'!$A$5:$A$20</c:f>
              <c:strCache>
                <c:ptCount val="0"/>
              </c:strCache>
            </c:strRef>
          </c:cat>
          <c:val>
            <c:numRef>
              <c:f>'S6_Trends_Regime'!$C$5:$C$20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MK p</c:v>
          </c:tx>
          <c:cat>
            <c:strRef>
              <c:f>'S6_Trends_Regime'!$A$5:$A$20</c:f>
              <c:strCache>
                <c:ptCount val="0"/>
              </c:strCache>
            </c:strRef>
          </c:cat>
          <c:val>
            <c:numRef>
              <c:f>'S6_Trends_Regime'!$D$5:$D$20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Sen slope dec⁻¹</c:v>
          </c:tx>
          <c:cat>
            <c:strRef>
              <c:f>'S6_Trends_Regime'!$A$5:$A$20</c:f>
              <c:strCache>
                <c:ptCount val="0"/>
              </c:strCache>
            </c:strRef>
          </c:cat>
          <c:val>
            <c:numRef>
              <c:f>'S6_Trends_Regime'!$E$5:$E$20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3</xdr:row>
      <xdr:rowOff>0</xdr:rowOff>
    </xdr:from>
    <xdr:to>
      <xdr:col>22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ede0b439cd42a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fe3ff5dbc04b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able" displayName="ReadmeTable" ref="A3:B10" headerRowCount="1">
  <x:tableColumns count="2">
    <x:tableColumn id="1" name="Field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9" name="SummaryKPI" displayName="SummaryKPI" ref="A3:B10" headerRowCount="1">
  <x:tableColumns count="2">
    <x:tableColumn id="1" name="KPI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10" name="ScientificSignals" displayName="ScientificSignals" ref="D3:H8" headerRowCount="1">
  <x:tableColumns count="5">
    <x:tableColumn id="1" name="Main scientific signals captured in the workbook"/>
    <x:tableColumn id="2" name="Evidence sheet"/>
    <x:tableColumn id="3" name="Key value / interpretation"/>
    <x:tableColumn id="4" name="Reviewer use"/>
    <x:tableColumn id="5" name="Status"/>
  </x:tableColumns>
  <x:tableStyleInfo name="TableStyleMedium2" showRowStripes="1"/>
</x:table>
</file>

<file path=xl/tables/table4.xml><?xml version="1.0" encoding="utf-8"?>
<x:table xmlns:x="http://schemas.openxmlformats.org/spreadsheetml/2006/main" id="11" name="S4Counts" displayName="S4Counts" ref="A13:E17" headerRowCount="1">
  <x:tableColumns count="5">
    <x:tableColumn id="1" name="S4 significant anomaly count"/>
    <x:tableColumn id="2" name="Formula"/>
    <x:tableColumn id="3" name="Result"/>
    <x:tableColumn id="4" name="Interpretation"/>
    <x:tableColumn id="5" name="Status"/>
  </x:tableColumns>
  <x:tableStyleInfo name="TableStyleMedium2" showRowStripes="1"/>
</x:table>
</file>

<file path=xl/tables/table5.xml><?xml version="1.0" encoding="utf-8"?>
<x:table xmlns:x="http://schemas.openxmlformats.org/spreadsheetml/2006/main" id="3" name="S1_Datasets" displayName="S1_Datasets" ref="A4:G10" headerRowCount="1">
  <x:tableColumns count="7">
    <x:tableColumn id="1" name="Src."/>
    <x:tableColumn id="2" name="Product / version"/>
    <x:tableColumn id="3" name="Variables"/>
    <x:tableColumn id="4" name="Grid"/>
    <x:tableColumn id="5" name="Step"/>
    <x:tableColumn id="6" name="Period"/>
    <x:tableColumn id="7" name="Preprocessing / analytical use"/>
  </x:tableColumns>
  <x:tableStyleInfo name="TableStyleMedium2" showRowStripes="1"/>
</x:table>
</file>

<file path=xl/tables/table6.xml><?xml version="1.0" encoding="utf-8"?>
<x:table xmlns:x="http://schemas.openxmlformats.org/spreadsheetml/2006/main" id="4" name="S2_Chronology" displayName="S2_Chronology" ref="A4:F7" headerRowCount="1">
  <x:tableColumns count="6">
    <x:tableColumn id="1" name="Period"/>
    <x:tableColumn id="2" name="Thermal regime"/>
    <x:tableColumn id="3" name="Event organization"/>
    <x:tableColumn id="4" name="Exposure signature"/>
    <x:tableColumn id="5" name="Severity structure"/>
    <x:tableColumn id="6" name="Chronology-scale interpretation"/>
  </x:tableColumns>
  <x:tableStyleInfo name="TableStyleMedium2" showRowStripes="1"/>
</x:table>
</file>

<file path=xl/tables/table7.xml><?xml version="1.0" encoding="utf-8"?>
<x:table xmlns:x="http://schemas.openxmlformats.org/spreadsheetml/2006/main" id="5" name="S3_Persistence" displayName="S3_Persistence" ref="A4:J9" headerRowCount="1">
  <x:tableColumns count="10">
    <x:tableColumn id="1" name="Diag."/>
    <x:tableColumn id="2" name="Metric / comparison"/>
    <x:tableColumn id="3" name="Ref. state"/>
    <x:tableColumn id="4" name="MHW / exposure state"/>
    <x:tableColumn id="5" name="Est."/>
    <x:tableColumn id="6" name="95% CI"/>
    <x:tableColumn id="7" name="p"/>
    <x:tableColumn id="8" name="Adj. stat."/>
    <x:tableColumn id="9" name="Interpretation"/>
    <x:tableColumn id="10" name="Linked figure(s)"/>
  </x:tableColumns>
  <x:tableStyleInfo name="TableStyleMedium2" showRowStripes="1"/>
</x:table>
</file>

<file path=xl/tables/table8.xml><?xml version="1.0" encoding="utf-8"?>
<x:table xmlns:x="http://schemas.openxmlformats.org/spreadsheetml/2006/main" id="6" name="S4_BGC_Composites" displayName="S4_BGC_Composites" ref="A4:M52" headerRowCount="1">
  <x:tableColumns count="13">
    <x:tableColumn id="1" name="Var."/>
    <x:tableColumn id="2" name="Sub-basin"/>
    <x:tableColumn id="3" name="Season"/>
    <x:tableColumn id="4" name="nMHW"/>
    <x:tableColumn id="5" name="nNon"/>
    <x:tableColumn id="6" name="MHW mean"/>
    <x:tableColumn id="7" name="Non-MHW mean"/>
    <x:tableColumn id="8" name="Delta"/>
    <x:tableColumn id="9" name="95% CI"/>
    <x:tableColumn id="10" name="p"/>
    <x:tableColumn id="11" name="g"/>
    <x:tableColumn id="12" name="Sig."/>
    <x:tableColumn id="13" name="Dir."/>
  </x:tableColumns>
  <x:tableStyleInfo name="TableStyleMedium2" showRowStripes="1"/>
</x:table>
</file>

<file path=xl/tables/table9.xml><?xml version="1.0" encoding="utf-8"?>
<x:table xmlns:x="http://schemas.openxmlformats.org/spreadsheetml/2006/main" id="7" name="S5_Teleconnections" displayName="S5_Teleconnections" ref="A4:L52" headerRowCount="1">
  <x:tableColumns count="12">
    <x:tableColumn id="1" name="Sub-basin"/>
    <x:tableColumn id="2" name="Season"/>
    <x:tableColumn id="3" name="Metric"/>
    <x:tableColumn id="4" name="Index"/>
    <x:tableColumn id="5" name="n"/>
    <x:tableColumn id="6" name="r"/>
    <x:tableColumn id="7" name="p"/>
    <x:tableColumn id="8" name="q(FDR)"/>
    <x:tableColumn id="9" name="n+"/>
    <x:tableColumn id="10" name="n−"/>
    <x:tableColumn id="11" name="Phase d"/>
    <x:tableColumn id="12" name="Phase p"/>
  </x:tableColumns>
  <x:tableStyleInfo name="TableStyleMedium2" showRowStripes="1"/>
</x:table>
</file>

<file path=xl/tables/table10.xml><?xml version="1.0" encoding="utf-8"?>
<x:table xmlns:x="http://schemas.openxmlformats.org/spreadsheetml/2006/main" id="8" name="S6_Trends_Regime" displayName="S6_Trends_Regime" ref="A4:H20" headerRowCount="1">
  <x:tableColumns count="8">
    <x:tableColumn id="1" name="Region"/>
    <x:tableColumn id="2" name="Metric"/>
    <x:tableColumn id="3" name="MK tau"/>
    <x:tableColumn id="4" name="MK p"/>
    <x:tableColumn id="5" name="Sen slope dec⁻¹"/>
    <x:tableColumn id="6" name="95% CI"/>
    <x:tableColumn id="7" name="Pettitt year"/>
    <x:tableColumn id="8" name="Pettitt p"/>
  </x:tableColumns>
  <x:tableStyleInfo name="TableStyleMedium2" showRowStripes="1"/>
</x:table>
</file>

<file path=xl/tables/table11.xml><?xml version="1.0" encoding="utf-8"?>
<x:table xmlns:x="http://schemas.openxmlformats.org/spreadsheetml/2006/main" id="2" name="DataDictionary" displayName="DataDictionary" ref="A4:B27" headerRowCount="1">
  <x:tableColumns count="2">
    <x:tableColumn id="1" name="Term"/>
    <x:tableColumn id="2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8cd64b31c74e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885ca2c55c4b27" /><Relationship Type="http://schemas.openxmlformats.org/officeDocument/2006/relationships/table" Target="/xl/tables/table3.xml" Id="R9137e530381e4d91" /><Relationship Type="http://schemas.openxmlformats.org/officeDocument/2006/relationships/table" Target="/xl/tables/table4.xml" Id="Rfa9285c4b1b241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9d6a94aa7af941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a9c4afcd414940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b5fa8a2c3d0245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c280bc6b7d704af9" /><Relationship Type="http://schemas.openxmlformats.org/officeDocument/2006/relationships/table" Target="/xl/tables/table8.xml" Id="Ra5fabfe87acc47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2e81346262fc44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e957437b6e544f03" /><Relationship Type="http://schemas.openxmlformats.org/officeDocument/2006/relationships/table" Target="/xl/tables/table10.xml" Id="R488a9b9b6dc74c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c323c5d06bbb4fb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0" customHeight="1">
      <x:c r="A1" s="3" t="str">
        <x:v>Bay of Bengal Marine Heatwave Study — Supplementary Tables S1–S6</x:v>
      </x:c>
      <x:c r="B1" s="3"/>
      <x:c r="C1" s="3"/>
      <x:c r="D1" s="3"/>
      <x:c r="E1" s="3"/>
      <x:c r="F1" s="3"/>
      <x:c r="G1" s="3"/>
      <x:c r="H1" s="3"/>
    </x:row>
    <x:row r="3">
      <x:c r="A3" s="8" t="str">
        <x:v>Field</x:v>
      </x:c>
      <x:c r="B3" s="8" t="str">
        <x:v>Description</x:v>
      </x:c>
    </x:row>
    <x:row r="4">
      <x:c r="A4" s="13" t="str">
        <x:v>Workbook purpose</x:v>
      </x:c>
      <x:c r="B4" s="13" t="str">
        <x:v>Publication-ready Excel workbook containing Supplementary Tables S1–S6 for GitHub/Zenodo deposition and peer-review transparency.</x:v>
      </x:c>
    </x:row>
    <x:row r="5">
      <x:c r="A5" s="13" t="str">
        <x:v>Manuscript</x:v>
      </x:c>
      <x:c r="B5" s="13" t="str">
        <x:v>An Emerging Marine Heatwave Exposure Regime in the Bay of Bengal: Stratification-Mediated Persistence and Compound Heat–Oxygen Risk</x:v>
      </x:c>
    </x:row>
    <x:row r="6">
      <x:c r="A6" s="13" t="str">
        <x:v>Prepared for</x:v>
      </x:c>
      <x:c r="B6" s="13" t="str">
        <x:v>AGU Earth’s Future manuscript supplementary repository package</x:v>
      </x:c>
    </x:row>
    <x:row r="7">
      <x:c r="A7" s="13" t="str">
        <x:v>Source</x:v>
      </x:c>
      <x:c r="B7" s="13" t="str">
        <x:v>Supplementary_Information_BoB_MHW_FINAL(1).docx; tables S1–S6 provided by authors</x:v>
      </x:c>
    </x:row>
    <x:row r="8">
      <x:c r="A8" s="13" t="str">
        <x:v>Study domain</x:v>
      </x:c>
      <x:c r="B8" s="13" t="str">
        <x:v>Bay of Bengal, 5–22°N and 80–100°E; sub-basins: Northern 16–22°N, Central 10–16°N, Southern 5–10°N</x:v>
      </x:c>
    </x:row>
    <x:row r="9">
      <x:c r="A9" s="13" t="str">
        <x:v>Citation note</x:v>
      </x:c>
      <x:c r="B9" s="13" t="str">
        <x:v>After Zenodo upload, cite this workbook as a dataset in the manuscript Open Research and References sections.</x:v>
      </x:c>
    </x:row>
    <x:row r="10">
      <x:c r="A10" s="13" t="str">
        <x:v>Recommended file name</x:v>
      </x:c>
      <x:c r="B10" s="13" t="str">
        <x:v>BoB_MHW_1995_2025_Supplementary_Tables_S1_S6.xlsx</x:v>
      </x:c>
    </x:row>
    <x:row r="11">
      <x:c r="A11" t="str">
        <x:v>Version</x:v>
      </x:c>
      <x:c r="B11" t="str">
        <x:v>v1.0; generated 2026-05-31 UTC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d8cd64b31c74e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  <x:col min="3" max="3" width="14" hidden="0" customWidth="1"/>
    <x:col min="4" max="4" width="34" hidden="0" customWidth="1"/>
    <x:col min="5" max="5" width="20" hidden="0" customWidth="1"/>
    <x:col min="6" max="6" width="42" hidden="0" customWidth="1"/>
    <x:col min="7" max="7" width="32" hidden="0" customWidth="1"/>
    <x:col min="8" max="8" width="12" hidden="0" customWidth="1"/>
  </x:cols>
  <x:sheetData>
    <x:row r="1" ht="30" customHeight="1">
      <x:c r="A1" s="3" t="str">
        <x:v>Reviewer Summary Dashboard — Supplementary Tables S1–S6</x:v>
      </x:c>
      <x:c r="B1" s="3"/>
      <x:c r="C1" s="3"/>
      <x:c r="D1" s="3"/>
      <x:c r="E1" s="3"/>
      <x:c r="F1" s="3"/>
      <x:c r="G1" s="3"/>
      <x:c r="H1" s="3"/>
    </x:row>
    <x:row r="3">
      <x:c r="A3" s="8" t="str">
        <x:v>KPI</x:v>
      </x:c>
      <x:c r="B3" s="8" t="str">
        <x:v>Value</x:v>
      </x:c>
      <x:c r="D3" s="96" t="str">
        <x:v>Main scientific signals captured in the workbook</x:v>
      </x:c>
      <x:c r="E3" s="96" t="str">
        <x:v>Evidence sheet</x:v>
      </x:c>
      <x:c r="F3" s="96" t="str">
        <x:v>Key value / interpretation</x:v>
      </x:c>
      <x:c r="G3" s="96" t="str">
        <x:v>Reviewer use</x:v>
      </x:c>
      <x:c r="H3" s="96" t="str">
        <x:v>Status</x:v>
      </x:c>
    </x:row>
    <x:row r="4">
      <x:c r="A4" s="12" t="str">
        <x:v>Supplementary tables included</x:v>
      </x:c>
      <x:c r="B4" s="12" t="n">
        <x:v>6</x:v>
      </x:c>
      <x:c r="D4" s="13" t="str">
        <x:v>Post-2013 basin-scale exposure regime</x:v>
      </x:c>
      <x:c r="E4" s="13" t="str">
        <x:v>S6_Trends_Regime</x:v>
      </x:c>
      <x:c r="F4" s="13" t="str">
        <x:v>Basin MHW days Sen slope = 15.484 days decade⁻¹; Pettitt year = 2013</x:v>
      </x:c>
      <x:c r="G4" s="13" t="str">
        <x:v>Supports regime-shift claim</x:v>
      </x:c>
      <x:c r="H4" s="13" t="str">
        <x:v>Ready</x:v>
      </x:c>
    </x:row>
    <x:row r="5">
      <x:c r="A5" s="12" t="str">
        <x:v>Dataset/source rows (S1)</x:v>
      </x:c>
      <x:c r="B5" s="12" t="n">
        <x:v>6</x:v>
      </x:c>
      <x:c r="D5" s="13" t="str">
        <x:v>Central Bay hotspot emergence</x:v>
      </x:c>
      <x:c r="E5" s="13" t="str">
        <x:v>S6_Trends_Regime / S2_Chronology</x:v>
      </x:c>
      <x:c r="F5" s="13" t="str">
        <x:v>Central MHW days slope = 16.113 days decade⁻¹; 2015–2025 high-exposure regime</x:v>
      </x:c>
      <x:c r="G5" s="13" t="str">
        <x:v>Supports hotspot narrative</x:v>
      </x:c>
      <x:c r="H5" s="13" t="str">
        <x:v>Ready</x:v>
      </x:c>
    </x:row>
    <x:row r="6">
      <x:c r="A6" s="12" t="str">
        <x:v>Chronology periods (S2)</x:v>
      </x:c>
      <x:c r="B6" s="12" t="n">
        <x:v>3</x:v>
      </x:c>
      <x:c r="D6" s="13" t="str">
        <x:v>Stratification as persistence amplifier</x:v>
      </x:c>
      <x:c r="E6" s="13" t="str">
        <x:v>S3_Persistence</x:v>
      </x:c>
      <x:c r="F6" s="13" t="str">
        <x:v>Daily N² occurrence model slope = 0.478, p = 1.75 × 10⁻⁷; pseudo-R² = 0.025</x:v>
      </x:c>
      <x:c r="G6" s="13" t="str">
        <x:v>Supports cautious mechanism</x:v>
      </x:c>
      <x:c r="H6" s="13" t="str">
        <x:v>Ready</x:v>
      </x:c>
    </x:row>
    <x:row r="7">
      <x:c r="A7" s="12" t="str">
        <x:v>Persistence diagnostics (S3)</x:v>
      </x:c>
      <x:c r="B7" s="12" t="n">
        <x:v>5</x:v>
      </x:c>
      <x:c r="D7" s="13" t="str">
        <x:v>Coherent oxygen decline during MHW windows</x:v>
      </x:c>
      <x:c r="E7" s="13" t="str">
        <x:v>S4_BGC_Composites</x:v>
      </x:c>
      <x:c r="F7" s="13" t="str">
        <x:v>Significant DO depletion in multiple sub-basins/seasons; strongest Northern Monsoon Δ = −1.056 mmol m⁻³</x:v>
      </x:c>
      <x:c r="G7" s="13" t="str">
        <x:v>Supports compound heat–oxygen risk</x:v>
      </x:c>
      <x:c r="H7" s="13" t="str">
        <x:v>Ready</x:v>
      </x:c>
    </x:row>
    <x:row r="8">
      <x:c r="A8" s="12" t="str">
        <x:v>Biogeochemical composite rows (S4)</x:v>
      </x:c>
      <x:c r="B8" s="12" t="n">
        <x:v>48</x:v>
      </x:c>
      <x:c r="D8" s="13" t="str">
        <x:v>Teleconnection modulation</x:v>
      </x:c>
      <x:c r="E8" s="13" t="str">
        <x:v>S5_Teleconnections</x:v>
      </x:c>
      <x:c r="F8" s="13" t="str">
        <x:v>Seasonal ONI/DMI correlations and phase contrasts summarized with q(FDR)</x:v>
      </x:c>
      <x:c r="G8" s="13" t="str">
        <x:v>Supports ENSO/IOD modulation language</x:v>
      </x:c>
      <x:c r="H8" s="13" t="str">
        <x:v>Ready</x:v>
      </x:c>
    </x:row>
    <x:row r="9">
      <x:c r="A9" s="12" t="str">
        <x:v>Teleconnection tests (S5)</x:v>
      </x:c>
      <x:c r="B9" s="12" t="n">
        <x:v>48</x:v>
      </x:c>
    </x:row>
    <x:row r="10">
      <x:c r="A10" s="12" t="str">
        <x:v>Trend/regime rows (S6)</x:v>
      </x:c>
      <x:c r="B10" s="12" t="n">
        <x:v>16</x:v>
      </x:c>
    </x:row>
    <x:row r="13">
      <x:c r="A13" s="102" t="str">
        <x:v>S4 significant anomaly count</x:v>
      </x:c>
      <x:c r="B13" s="102" t="str">
        <x:v>Formula</x:v>
      </x:c>
      <x:c r="C13" s="102" t="str">
        <x:v>Result</x:v>
      </x:c>
      <x:c r="D13" s="102" t="str">
        <x:v>Interpretation</x:v>
      </x:c>
      <x:c r="E13" s="102" t="str">
        <x:v>Status</x:v>
      </x:c>
    </x:row>
    <x:row r="14">
      <x:c r="A14" s="13" t="str">
        <x:v>Significant DO-lower composites</x:v>
      </x:c>
      <x:c r="B14" s="106" t="n">
        <x:f>COUNTIFS(S4_BGC_Composites!A:A,"DO",S4_BGC_Composites!L:L,"Yes",S4_BGC_Composites!M:M,"Lower")</x:f>
        <x:v>8</x:v>
      </x:c>
      <x:c r="C14" s="13" t="n">
        <x:f>COUNTIFS(S4_BGC_Composites!A:A,"DO",S4_BGC_Composites!L:L,"Yes",S4_BGC_Composites!M:M,"Lower")</x:f>
        <x:v>8</x:v>
      </x:c>
      <x:c r="D14" s="13" t="str">
        <x:v>Counts significant DO declines during MHWs</x:v>
      </x:c>
      <x:c r="E14" s="13" t="str">
        <x:v>Auto</x:v>
      </x:c>
    </x:row>
    <x:row r="15">
      <x:c r="A15" s="13" t="str">
        <x:v>All significant BGC composites</x:v>
      </x:c>
      <x:c r="B15" s="106" t="n">
        <x:f>COUNTIF(S4_BGC_Composites!L:L,"Yes")</x:f>
        <x:v>18</x:v>
      </x:c>
      <x:c r="C15" s="13" t="n">
        <x:f>COUNTIF(S4_BGC_Composites!L:L,"Yes")</x:f>
        <x:v>18</x:v>
      </x:c>
      <x:c r="D15" s="13" t="str">
        <x:v>Counts all significant biogeochemical anomalies</x:v>
      </x:c>
      <x:c r="E15" s="13" t="str">
        <x:v>Auto</x:v>
      </x:c>
    </x:row>
    <x:row r="16">
      <x:c r="A16" s="13" t="str">
        <x:v>Significant nutrient-lower composites</x:v>
      </x:c>
      <x:c r="B16" s="106" t="n">
        <x:f>COUNTIFS(S4_BGC_Composites!A:A,"&lt;&gt;DO",S4_BGC_Composites!L:L,"Yes",S4_BGC_Composites!M:M,"Lower")</x:f>
        <x:v>5</x:v>
      </x:c>
      <x:c r="C16" s="13" t="n">
        <x:f>COUNTIFS(S4_BGC_Composites!A:A,"&lt;&gt;DO",S4_BGC_Composites!L:L,"Yes",S4_BGC_Composites!M:M,"Lower")</x:f>
        <x:v>5</x:v>
      </x:c>
      <x:c r="D16" s="13" t="str">
        <x:v>Counts significant nutrient reductions</x:v>
      </x:c>
      <x:c r="E16" s="13" t="str">
        <x:v>Auto</x:v>
      </x:c>
    </x:row>
    <x:row r="17">
      <x:c r="A17" s="13" t="str">
        <x:v>Significant nutrient-higher composites</x:v>
      </x:c>
      <x:c r="B17" s="106" t="n">
        <x:f>COUNTIFS(S4_BGC_Composites!A:A,"&lt;&gt;DO",S4_BGC_Composites!L:L,"Yes",S4_BGC_Composites!M:M,"Higher")</x:f>
        <x:v>5</x:v>
      </x:c>
      <x:c r="C17" s="13" t="n">
        <x:f>COUNTIFS(S4_BGC_Composites!A:A,"&lt;&gt;DO",S4_BGC_Composites!L:L,"Yes",S4_BGC_Composites!M:M,"Higher")</x:f>
        <x:v>5</x:v>
      </x:c>
      <x:c r="D17" s="13" t="str">
        <x:v>Counts significant nutrient enrichments</x:v>
      </x:c>
      <x:c r="E17" s="13" t="str">
        <x:v>Auto</x:v>
      </x:c>
    </x:row>
  </x:sheetData>
  <x:mergeCells>
    <x:mergeCell ref="A1:H1"/>
  </x:mergeCells>
  <x:pageMargins left="0.7" right="0.7" top="0.75" bottom="0.75" header="0.3" footer="0.3"/>
  <x:tableParts count="3">
    <x:tablePart xmlns:r="http://schemas.openxmlformats.org/officeDocument/2006/relationships" r:id="R2d885ca2c55c4b27"/>
    <x:tablePart xmlns:r="http://schemas.openxmlformats.org/officeDocument/2006/relationships" r:id="R9137e530381e4d91"/>
    <x:tablePart xmlns:r="http://schemas.openxmlformats.org/officeDocument/2006/relationships" r:id="Rfa9285c4b1b2414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8" hidden="0" customWidth="1"/>
    <x:col min="4" max="4" width="16" hidden="0" customWidth="1"/>
    <x:col min="5" max="5" width="14" hidden="0" customWidth="1"/>
    <x:col min="6" max="6" width="14" hidden="0" customWidth="1"/>
    <x:col min="7" max="7" width="62" hidden="0" customWidth="1"/>
  </x:cols>
  <x:sheetData>
    <x:row r="1" ht="26" customHeight="1">
      <x:c r="A1" s="18" t="str">
        <x:v>Supplementary Table S1 | Dataset provenance, preprocessing, and analysis configuration</x:v>
      </x:c>
      <x:c r="B1" s="18"/>
      <x:c r="C1" s="18"/>
      <x:c r="D1" s="18"/>
      <x:c r="E1" s="18"/>
      <x:c r="F1" s="18"/>
      <x:c r="G1" s="18"/>
    </x:row>
    <x:row r="2" ht="38" customHeight="1">
      <x:c r="A2" s="24" t="str">
        <x:v>All datasets were harmonized to the Bay of Bengal domain (5–22°N, 80–100°E). Common study period: 1995–2025; upper-ocean stratification: 1995–2024; biogeochemistry: 2000–2025. Area averages use cosine-latitude weighting.</x:v>
      </x:c>
      <x:c r="B2" s="24"/>
      <x:c r="C2" s="24"/>
      <x:c r="D2" s="24"/>
      <x:c r="E2" s="24"/>
      <x:c r="F2" s="24"/>
      <x:c r="G2" s="24"/>
    </x:row>
    <x:row r="4" ht="15" hidden="0" customHeight="1">
      <x:c r="A4" s="32" t="str">
        <x:v>Src.</x:v>
      </x:c>
      <x:c r="B4" s="32" t="str">
        <x:v>Product / version</x:v>
      </x:c>
      <x:c r="C4" s="32" t="str">
        <x:v>Variables</x:v>
      </x:c>
      <x:c r="D4" s="32" t="str">
        <x:v>Grid</x:v>
      </x:c>
      <x:c r="E4" s="32" t="str">
        <x:v>Step</x:v>
      </x:c>
      <x:c r="F4" s="32" t="str">
        <x:v>Period</x:v>
      </x:c>
      <x:c r="G4" s="32" t="str">
        <x:v>Preprocessing / analytical use</x:v>
      </x:c>
    </x:row>
    <x:row r="5" ht="15" hidden="0" customHeight="1">
      <x:c r="A5" s="40" t="str">
        <x:v>OISST</x:v>
      </x:c>
      <x:c r="B5" s="40" t="str">
        <x:v>NOAA OISST v2.1</x:v>
      </x:c>
      <x:c r="C5" s="40" t="str">
        <x:v>SST</x:v>
      </x:c>
      <x:c r="D5" s="40" t="str">
        <x:v>0.25°</x:v>
      </x:c>
      <x:c r="E5" s="40" t="str">
        <x:v>Daily</x:v>
      </x:c>
      <x:c r="F5" s="40" t="str">
        <x:v>1995–2025</x:v>
      </x:c>
      <x:c r="G5" s="40" t="str">
        <x:v>BoB subset; daily climatology and anomalies; 90th-percentile threshold; basin and sub-basin aggregation</x:v>
      </x:c>
    </x:row>
    <x:row r="6" ht="15" hidden="0" customHeight="1">
      <x:c r="A6" s="40" t="str">
        <x:v>MHW</x:v>
      </x:c>
      <x:c r="B6" s="40" t="str">
        <x:v>Derived event catalogue</x:v>
      </x:c>
      <x:c r="C6" s="40" t="str">
        <x:v>Event metrics, severity, duration</x:v>
      </x:c>
      <x:c r="D6" s="40" t="str">
        <x:v>inherits SST</x:v>
      </x:c>
      <x:c r="E6" s="40" t="str">
        <x:v>Daily / event</x:v>
      </x:c>
      <x:c r="F6" s="40" t="str">
        <x:v>1995–2025</x:v>
      </x:c>
      <x:c r="G6" s="40" t="str">
        <x:v>Hobday-style detection; ≥5 consecutive days; ≤2-day gap merge; event chronology and annual summaries</x:v>
      </x:c>
    </x:row>
    <x:row r="7" ht="15" hidden="0" customHeight="1">
      <x:c r="A7" s="40" t="str">
        <x:v>ONI</x:v>
      </x:c>
      <x:c r="B7" s="40" t="str">
        <x:v>NOAA CPC Oceanic Niño Index</x:v>
      </x:c>
      <x:c r="C7" s="40" t="str">
        <x:v>ENSO index</x:v>
      </x:c>
      <x:c r="D7" s="40" t="str">
        <x:v>Index</x:v>
      </x:c>
      <x:c r="E7" s="40" t="str">
        <x:v>Monthly</x:v>
      </x:c>
      <x:c r="F7" s="40" t="str">
        <x:v>1995–2025</x:v>
      </x:c>
      <x:c r="G7" s="40" t="str">
        <x:v>Seasonal extraction; detrended teleconnection and phase-composite analyses</x:v>
      </x:c>
    </x:row>
    <x:row r="8" ht="15" hidden="0" customHeight="1">
      <x:c r="A8" s="40" t="str">
        <x:v>DMI</x:v>
      </x:c>
      <x:c r="B8" s="40" t="str">
        <x:v>NOAA PSL Dipole Mode Index</x:v>
      </x:c>
      <x:c r="C8" s="40" t="str">
        <x:v>IOD index</x:v>
      </x:c>
      <x:c r="D8" s="40" t="str">
        <x:v>Index</x:v>
      </x:c>
      <x:c r="E8" s="40" t="str">
        <x:v>Monthly</x:v>
      </x:c>
      <x:c r="F8" s="40" t="str">
        <x:v>1995–2025</x:v>
      </x:c>
      <x:c r="G8" s="40" t="str">
        <x:v>Seasonal extraction; detrended teleconnection and phase-composite analyses</x:v>
      </x:c>
    </x:row>
    <x:row r="9" ht="15" hidden="0" customHeight="1">
      <x:c r="A9" s="40" t="str">
        <x:v>CMEMS PHY</x:v>
      </x:c>
      <x:c r="B9" s="40" t="str">
        <x:v>CMEMS multi-observation / profile product</x:v>
      </x:c>
      <x:c r="C9" s="40" t="str">
        <x:v>Temperature, salinity, MLD</x:v>
      </x:c>
      <x:c r="D9" s="40" t="str">
        <x:v>0.125°, 3D</x:v>
      </x:c>
      <x:c r="E9" s="40" t="str">
        <x:v>Daily</x:v>
      </x:c>
      <x:c r="F9" s="40" t="str">
        <x:v>1995–2024</x:v>
      </x:c>
      <x:c r="G9" s="40" t="str">
        <x:v>BoB subset; TEOS-10 density reconstruction; N² and mixed-layer-depth diagnostics</x:v>
      </x:c>
    </x:row>
    <x:row r="10" ht="15" hidden="0" customHeight="1">
      <x:c r="A10" s="40" t="str">
        <x:v>CMEMS BGC</x:v>
      </x:c>
      <x:c r="B10" s="40" t="str">
        <x:v>CMEMS biogeochemical product</x:v>
      </x:c>
      <x:c r="C10" s="40" t="str">
        <x:v>Chl-a, NO₃⁻, PO₄³⁻, Si, DO</x:v>
      </x:c>
      <x:c r="D10" s="40" t="str">
        <x:v>0.25°, 3D</x:v>
      </x:c>
      <x:c r="E10" s="40" t="str">
        <x:v>Monthly</x:v>
      </x:c>
      <x:c r="F10" s="40" t="str">
        <x:v>2000–2025</x:v>
      </x:c>
      <x:c r="G10" s="40" t="str">
        <x:v>Seasonal composites; same-season MHW vs non-MHW event-window contrasts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d6a94aa7af9419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38" hidden="0" customWidth="1"/>
    <x:col min="5" max="5" width="34" hidden="0" customWidth="1"/>
    <x:col min="6" max="6" width="54" hidden="0" customWidth="1"/>
  </x:cols>
  <x:sheetData>
    <x:row r="1" ht="26" customHeight="1">
      <x:c r="A1" s="18" t="str">
        <x:v>Supplementary Table S2 | Expanded chronology summary for Bay of Bengal marine heatwaves (1995–2025)</x:v>
      </x:c>
      <x:c r="B1" s="18"/>
      <x:c r="C1" s="18"/>
      <x:c r="D1" s="18"/>
      <x:c r="E1" s="18"/>
      <x:c r="F1" s="18"/>
    </x:row>
    <x:row r="2" ht="38" customHeight="1">
      <x:c r="A2" s="24" t="str">
        <x:v>Reviewer-oriented chronology synthesis supporting the integrated chronology figure and main-text chronology interpretation.</x:v>
      </x:c>
      <x:c r="B2" s="24"/>
      <x:c r="C2" s="24"/>
      <x:c r="D2" s="24"/>
      <x:c r="E2" s="24"/>
      <x:c r="F2" s="24"/>
    </x:row>
    <x:row r="4" ht="15" hidden="0" customHeight="1">
      <x:c r="A4" s="48" t="str">
        <x:v>Period</x:v>
      </x:c>
      <x:c r="B4" s="48" t="str">
        <x:v>Thermal regime</x:v>
      </x:c>
      <x:c r="C4" s="48" t="str">
        <x:v>Event organization</x:v>
      </x:c>
      <x:c r="D4" s="48" t="str">
        <x:v>Exposure signature</x:v>
      </x:c>
      <x:c r="E4" s="48" t="str">
        <x:v>Severity structure</x:v>
      </x:c>
      <x:c r="F4" s="48" t="str">
        <x:v>Chronology-scale interpretation</x:v>
      </x:c>
    </x:row>
    <x:row r="5" ht="15" hidden="0" customHeight="1">
      <x:c r="A5" s="40" t="str">
        <x:v>1995–2005</x:v>
      </x:c>
      <x:c r="B5" s="40" t="str">
        <x:v>Lower-exposure baseline</x:v>
      </x:c>
      <x:c r="C5" s="40" t="str">
        <x:v>Events are infrequent and mostly isolated in time</x:v>
      </x:c>
      <x:c r="D5" s="40" t="str">
        <x:v>Short seasonal exposure windows and relatively modest annual MHW-day totals</x:v>
      </x:c>
      <x:c r="E5" s="40" t="str">
        <x:v>Mostly Moderate events; stronger categories are rare</x:v>
      </x:c>
      <x:c r="F5" s="40" t="str">
        <x:v>Represents the pre-intensification baseline against which later reorganization is evaluated</x:v>
      </x:c>
    </x:row>
    <x:row r="6" ht="15" hidden="0" customHeight="1">
      <x:c r="A6" s="40" t="str">
        <x:v>2005–2015</x:v>
      </x:c>
      <x:c r="B6" s="40" t="str">
        <x:v>Transition interval</x:v>
      </x:c>
      <x:c r="C6" s="40" t="str">
        <x:v>Recurrence increases and multiple events begin to cluster within individual years</x:v>
      </x:c>
      <x:c r="D6" s="40" t="str">
        <x:v>Exposure becomes more sustained through repeated threshold exceedances</x:v>
      </x:c>
      <x:c r="E6" s="40" t="str">
        <x:v>Moderate conditions remain dominant, but stronger years become more common</x:v>
      </x:c>
      <x:c r="F6" s="40" t="str">
        <x:v>Marks the chronology-scale transition toward a warmer and more persistent MHW regime</x:v>
      </x:c>
    </x:row>
    <x:row r="7" ht="15" hidden="0" customHeight="1">
      <x:c r="A7" s="40" t="str">
        <x:v>2015–2025</x:v>
      </x:c>
      <x:c r="B7" s="40" t="str">
        <x:v>High-exposure regime</x:v>
      </x:c>
      <x:c r="C7" s="40" t="str">
        <x:v>Events become more clustered, with several years sustaining multiple seasonal episodes</x:v>
      </x:c>
      <x:c r="D7" s="40" t="str">
        <x:v>Large annual MHW-day totals and reduced recovery intervals between events</x:v>
      </x:c>
      <x:c r="E7" s="40" t="str">
        <x:v>Moderate-to-Strong events become common, with occasional Severe expressions</x:v>
      </x:c>
      <x:c r="F7" s="40" t="str">
        <x:v>Defines the late-record high-exposure state consistent with basin-wide intensification and hotspot emergence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9c4afcd414940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32" hidden="0" customWidth="1"/>
    <x:col min="4" max="4" width="34" hidden="0" customWidth="1"/>
    <x:col min="5" max="5" width="28" hidden="0" customWidth="1"/>
    <x:col min="6" max="6" width="26" hidden="0" customWidth="1"/>
    <x:col min="7" max="7" width="14" hidden="0" customWidth="1"/>
    <x:col min="8" max="8" width="22" hidden="0" customWidth="1"/>
    <x:col min="9" max="9" width="60" hidden="0" customWidth="1"/>
    <x:col min="10" max="10" width="18" hidden="0" customWidth="1"/>
  </x:cols>
  <x:sheetData>
    <x:row r="1" ht="26" customHeight="1">
      <x:c r="A1" s="18" t="str">
        <x:v>Supplementary Table S3 | Detailed upper-ocean persistence diagnostics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38" customHeight="1">
      <x:c r="A2" s="24" t="str">
        <x:v>Abbreviations: N², Brunt–Väisälä frequency; MLD, mixed-layer depth; GLM, generalized linear model; CI, confidence interval. High-exposure years are years in the upper quartile of basin-mean annual MHW days.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ht="15" hidden="0" customHeight="1">
      <x:c r="A4" s="58" t="str">
        <x:v>Diag.</x:v>
      </x:c>
      <x:c r="B4" s="58" t="str">
        <x:v>Metric / comparison</x:v>
      </x:c>
      <x:c r="C4" s="58" t="str">
        <x:v>Ref. state</x:v>
      </x:c>
      <x:c r="D4" s="58" t="str">
        <x:v>MHW / exposure state</x:v>
      </x:c>
      <x:c r="E4" s="58" t="str">
        <x:v>Est.</x:v>
      </x:c>
      <x:c r="F4" s="58" t="str">
        <x:v>95% CI</x:v>
      </x:c>
      <x:c r="G4" s="58" t="str">
        <x:v>p</x:v>
      </x:c>
      <x:c r="H4" s="58" t="str">
        <x:v>Adj. stat.</x:v>
      </x:c>
      <x:c r="I4" s="58" t="str">
        <x:v>Interpretation</x:v>
      </x:c>
      <x:c r="J4" s="58" t="str">
        <x:v>Linked figure(s)</x:v>
      </x:c>
    </x:row>
    <x:row r="5" ht="15" hidden="0" customHeight="1">
      <x:c r="A5" s="40" t="str">
        <x:v>Annual composite</x:v>
      </x:c>
      <x:c r="B5" s="40" t="str">
        <x:v>Shallow N² (0–50 m): high-exposure years minus remaining years</x:v>
      </x:c>
      <x:c r="C5" s="40" t="str">
        <x:v>Years outside upper quartile of annual MHW days</x:v>
      </x:c>
      <x:c r="D5" s="40" t="str">
        <x:v>Years in upper quartile of annual MHW days</x:v>
      </x:c>
      <x:c r="E5" s="40" t="str">
        <x:v>−8.45 × 10⁻⁶ s⁻²</x:v>
      </x:c>
      <x:c r="F5" s="40" t="str">
        <x:v>−2.37 × 10⁻⁵ to 5.99 × 10⁻⁶</x:v>
      </x:c>
      <x:c r="G5" s="40" t="str">
        <x:v>0.304</x:v>
      </x:c>
      <x:c r="H5" s="40" t="str">
        <x:v>Not significant</x:v>
      </x:c>
      <x:c r="I5" s="40" t="str">
        <x:v>Annual mean shallow stratification does not independently distinguish high-exposure years at basin scale.</x:v>
      </x:c>
      <x:c r="J5" s="40" t="str">
        <x:v>Fig. 11a</x:v>
      </x:c>
    </x:row>
    <x:row r="6" ht="15" hidden="0" customHeight="1">
      <x:c r="A6" s="40" t="str">
        <x:v>Daily occurrence model</x:v>
      </x:c>
      <x:c r="B6" s="40" t="str">
        <x:v>Season-standardized shallow N² vs daily MHW occurrence probability</x:v>
      </x:c>
      <x:c r="C6" s="40" t="str">
        <x:v>Lower standardized shallow stability</x:v>
      </x:c>
      <x:c r="D6" s="40" t="str">
        <x:v>Higher standardized shallow stability</x:v>
      </x:c>
      <x:c r="E6" s="40" t="str">
        <x:v>Slope = 0.478</x:v>
      </x:c>
      <x:c r="F6" s="40" t="str">
        <x:v>0.299 to 0.657</x:v>
      </x:c>
      <x:c r="G6" s="40" t="str">
        <x:v>1.75 × 10⁻⁷</x:v>
      </x:c>
      <x:c r="H6" s="40" t="str">
        <x:v>Pseudo-R² = 0.025</x:v>
      </x:c>
      <x:c r="I6" s="40" t="str">
        <x:v>Stronger shallow stratification modestly but significantly increases the probability that MHW conditions persist from day to day.</x:v>
      </x:c>
      <x:c r="J6" s="40" t="str">
        <x:v>Fig. 11b</x:v>
      </x:c>
    </x:row>
    <x:row r="7" ht="15" hidden="0" customHeight="1">
      <x:c r="A7" s="40" t="str">
        <x:v>Event-window contrast</x:v>
      </x:c>
      <x:c r="B7" s="40" t="str">
        <x:v>MLD during MHW days minus same-season non-MHW days</x:v>
      </x:c>
      <x:c r="C7" s="40" t="str">
        <x:v>Same-season non-MHW windows</x:v>
      </x:c>
      <x:c r="D7" s="40" t="str">
        <x:v>Authenticated MHW windows</x:v>
      </x:c>
      <x:c r="E7" s="40" t="str">
        <x:v>−2.22 m</x:v>
      </x:c>
      <x:c r="F7" s="40" t="str">
        <x:v>−5.92 to 1.46</x:v>
      </x:c>
      <x:c r="G7" s="40" t="str">
        <x:v>0.246</x:v>
      </x:c>
      <x:c r="H7" s="40" t="str">
        <x:v>Not significant</x:v>
      </x:c>
      <x:c r="I7" s="40" t="str">
        <x:v>MHW days are associated with a shallower mixed layer on average, consistent with reduced entrainment cooling, though the basin-mean contrast is not statistically significant.</x:v>
      </x:c>
      <x:c r="J7" s="40" t="str">
        <x:v>Fig. 11c</x:v>
      </x:c>
    </x:row>
    <x:row r="8" ht="15" hidden="0" customHeight="1">
      <x:c r="A8" s="40" t="str">
        <x:v>Vertical composite</x:v>
      </x:c>
      <x:c r="B8" s="40" t="str">
        <x:v>Upper-ocean N² profile (near surface to 200 m)</x:v>
      </x:c>
      <x:c r="C8" s="40" t="str">
        <x:v>Non-MHW day composite</x:v>
      </x:c>
      <x:c r="D8" s="40" t="str">
        <x:v>MHW day composite</x:v>
      </x:c>
      <x:c r="E8" s="40" t="str">
        <x:v>Enhanced MHW-day stability in ~20–100 m layer</x:v>
      </x:c>
      <x:c r="F8" s="40" t="str">
        <x:v>Bootstrap envelopes shown in figure</x:v>
      </x:c>
      <x:c r="G8" s="40" t="str">
        <x:v>—</x:v>
      </x:c>
      <x:c r="H8" s="40" t="str">
        <x:v>Profile composite</x:v>
      </x:c>
      <x:c r="I8" s="40" t="str">
        <x:v>The most coherent mechanistic signal is stronger upper-thermocline stability during MHW days, indicating reduced vertical exchange across the layer ventilating surface heat.</x:v>
      </x:c>
      <x:c r="J8" s="40" t="str">
        <x:v>Fig. 11d</x:v>
      </x:c>
    </x:row>
    <x:row r="9" ht="15" hidden="0" customHeight="1">
      <x:c r="A9" s="40" t="str">
        <x:v>Hovmöller interpretation</x:v>
      </x:c>
      <x:c r="B9" s="40" t="str">
        <x:v>Co-occurrence of N² maxima, shallow MLD, and MHW windows</x:v>
      </x:c>
      <x:c r="C9" s="40" t="str">
        <x:v>Years with weaker or shorter event clustering</x:v>
      </x:c>
      <x:c r="D9" s="40" t="str">
        <x:v>Post-2010 high-exposure years (notably 2016, 2019, 2023, 2024)</x:v>
      </x:c>
      <x:c r="E9" s="40" t="str">
        <x:v>Qualitative concurrence</x:v>
      </x:c>
      <x:c r="F9" s="40" t="str">
        <x:v>—</x:v>
      </x:c>
      <x:c r="G9" s="40" t="str">
        <x:v>—</x:v>
      </x:c>
      <x:c r="H9" s="40" t="str">
        <x:v>Year-by-year structural alignment</x:v>
      </x:c>
      <x:c r="I9" s="40" t="str">
        <x:v>Several prolonged MHW years coincide with sustained shallow MLD and elevated upper-ocean stability, supporting stratification as a persistence amplifier.</x:v>
      </x:c>
      <x:c r="J9" s="40" t="str">
        <x:v>Figs. 9–10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5fa8a2c3d0245f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0" hidden="0" customWidth="1"/>
    <x:col min="5" max="5" width="10" hidden="0" customWidth="1"/>
    <x:col min="6" max="6" width="12" hidden="0" customWidth="1"/>
    <x:col min="7" max="7" width="14" hidden="0" customWidth="1"/>
    <x:col min="8" max="8" width="12" hidden="0" customWidth="1"/>
    <x:col min="9" max="9" width="2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</x:cols>
  <x:sheetData>
    <x:row r="1" ht="26" customHeight="1">
      <x:c r="A1" s="18" t="str">
        <x:v>Supplementary Table S4 | Full event-based biogeochemical composite statistics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</x:row>
    <x:row r="2" ht="38" customHeight="1">
      <x:c r="A2" s="24" t="str">
        <x:v>Column abbreviations: nMHW, MHW composites; nNon, same-season non-MHW composites; Delta, MHW minus non-MHW mean; g, Hedges g; Sig., significant at p &lt; 0.05; Dir., anomaly direction. Units: mmol m⁻³.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4" ht="15" hidden="0" customHeight="1">
      <x:c r="A4" s="68" t="str">
        <x:v>Var.</x:v>
      </x:c>
      <x:c r="B4" s="68" t="str">
        <x:v>Sub-basin</x:v>
      </x:c>
      <x:c r="C4" s="68" t="str">
        <x:v>Season</x:v>
      </x:c>
      <x:c r="D4" s="68" t="str">
        <x:v>nMHW</x:v>
      </x:c>
      <x:c r="E4" s="68" t="str">
        <x:v>nNon</x:v>
      </x:c>
      <x:c r="F4" s="68" t="str">
        <x:v>MHW mean</x:v>
      </x:c>
      <x:c r="G4" s="68" t="str">
        <x:v>Non-MHW mean</x:v>
      </x:c>
      <x:c r="H4" s="68" t="str">
        <x:v>Delta</x:v>
      </x:c>
      <x:c r="I4" s="68" t="str">
        <x:v>95% CI</x:v>
      </x:c>
      <x:c r="J4" s="68" t="str">
        <x:v>p</x:v>
      </x:c>
      <x:c r="K4" s="68" t="str">
        <x:v>g</x:v>
      </x:c>
      <x:c r="L4" s="68" t="str">
        <x:v>Sig.</x:v>
      </x:c>
      <x:c r="M4" s="68" t="str">
        <x:v>Dir.</x:v>
      </x:c>
    </x:row>
    <x:row r="5" ht="15" hidden="0" customHeight="1">
      <x:c r="A5" s="40" t="str">
        <x:v>NO₃⁻</x:v>
      </x:c>
      <x:c r="B5" s="40" t="str">
        <x:v>Northern</x:v>
      </x:c>
      <x:c r="C5" s="40" t="str">
        <x:v>Winter</x:v>
      </x:c>
      <x:c r="D5" s="40" t="n">
        <x:v>57</x:v>
      </x:c>
      <x:c r="E5" s="40" t="n">
        <x:v>20</x:v>
      </x:c>
      <x:c r="F5" s="108" t="n">
        <x:v>4.344</x:v>
      </x:c>
      <x:c r="G5" s="108" t="n">
        <x:v>4.293</x:v>
      </x:c>
      <x:c r="H5" s="108" t="n">
        <x:v>0.0502</x:v>
      </x:c>
      <x:c r="I5" s="40" t="str">
        <x:v>−0.31 to +0.41</x:v>
      </x:c>
      <x:c r="J5" s="108" t="n">
        <x:v>0.785</x:v>
      </x:c>
      <x:c r="K5" s="108" t="n">
        <x:v>0.08</x:v>
      </x:c>
      <x:c r="L5" s="40" t="str">
        <x:v>No</x:v>
      </x:c>
      <x:c r="M5" s="40" t="str">
        <x:v>Higher</x:v>
      </x:c>
    </x:row>
    <x:row r="6" ht="15" hidden="0" customHeight="1">
      <x:c r="A6" s="40" t="str">
        <x:v>PO₄³⁻</x:v>
      </x:c>
      <x:c r="B6" s="40" t="str">
        <x:v>Northern</x:v>
      </x:c>
      <x:c r="C6" s="40" t="str">
        <x:v>Winter</x:v>
      </x:c>
      <x:c r="D6" s="40" t="n">
        <x:v>57</x:v>
      </x:c>
      <x:c r="E6" s="40" t="n">
        <x:v>20</x:v>
      </x:c>
      <x:c r="F6" s="108" t="n">
        <x:v>0.0068</x:v>
      </x:c>
      <x:c r="G6" s="108" t="n">
        <x:v>0.0073</x:v>
      </x:c>
      <x:c r="H6" s="108" t="n">
        <x:v>-0.0005</x:v>
      </x:c>
      <x:c r="I6" s="40" t="str">
        <x:v>−0.0029 to +0.0018</x:v>
      </x:c>
      <x:c r="J6" s="108" t="n">
        <x:v>0.687</x:v>
      </x:c>
      <x:c r="K6" s="108" t="n">
        <x:v>-0.1</x:v>
      </x:c>
      <x:c r="L6" s="40" t="str">
        <x:v>No</x:v>
      </x:c>
      <x:c r="M6" s="40" t="str">
        <x:v>Lower</x:v>
      </x:c>
    </x:row>
    <x:row r="7" ht="15" hidden="0" customHeight="1">
      <x:c r="A7" s="40" t="str">
        <x:v>Si</x:v>
      </x:c>
      <x:c r="B7" s="40" t="str">
        <x:v>Northern</x:v>
      </x:c>
      <x:c r="C7" s="40" t="str">
        <x:v>Winter</x:v>
      </x:c>
      <x:c r="D7" s="40" t="n">
        <x:v>57</x:v>
      </x:c>
      <x:c r="E7" s="40" t="n">
        <x:v>20</x:v>
      </x:c>
      <x:c r="F7" s="108" t="n">
        <x:v>11.956</x:v>
      </x:c>
      <x:c r="G7" s="108" t="n">
        <x:v>11.678</x:v>
      </x:c>
      <x:c r="H7" s="108" t="n">
        <x:v>0.278</x:v>
      </x:c>
      <x:c r="I7" s="40" t="str">
        <x:v>−0.20 to +0.77</x:v>
      </x:c>
      <x:c r="J7" s="108" t="n">
        <x:v>0.28</x:v>
      </x:c>
      <x:c r="K7" s="108" t="n">
        <x:v>0.31</x:v>
      </x:c>
      <x:c r="L7" s="40" t="str">
        <x:v>No</x:v>
      </x:c>
      <x:c r="M7" s="40" t="str">
        <x:v>Higher</x:v>
      </x:c>
    </x:row>
    <x:row r="8" ht="15" hidden="0" customHeight="1">
      <x:c r="A8" s="40" t="str">
        <x:v>DO</x:v>
      </x:c>
      <x:c r="B8" s="40" t="str">
        <x:v>Northern</x:v>
      </x:c>
      <x:c r="C8" s="40" t="str">
        <x:v>Winter</x:v>
      </x:c>
      <x:c r="D8" s="40" t="n">
        <x:v>57</x:v>
      </x:c>
      <x:c r="E8" s="40" t="n">
        <x:v>20</x:v>
      </x:c>
      <x:c r="F8" s="108" t="n">
        <x:v>214.553</x:v>
      </x:c>
      <x:c r="G8" s="108" t="n">
        <x:v>215.389</x:v>
      </x:c>
      <x:c r="H8" s="108" t="n">
        <x:v>-0.836</x:v>
      </x:c>
      <x:c r="I8" s="40" t="str">
        <x:v>−1.47 to −0.17</x:v>
      </x:c>
      <x:c r="J8" s="108" t="n">
        <x:v>0.02</x:v>
      </x:c>
      <x:c r="K8" s="108" t="n">
        <x:v>-0.68</x:v>
      </x:c>
      <x:c r="L8" s="40" t="str">
        <x:v>Yes</x:v>
      </x:c>
      <x:c r="M8" s="40" t="str">
        <x:v>Lower</x:v>
      </x:c>
    </x:row>
    <x:row r="9" ht="15" hidden="0" customHeight="1">
      <x:c r="A9" s="40" t="str">
        <x:v>NO₃⁻</x:v>
      </x:c>
      <x:c r="B9" s="40" t="str">
        <x:v>Northern</x:v>
      </x:c>
      <x:c r="C9" s="40" t="str">
        <x:v>Pre-monsoon</x:v>
      </x:c>
      <x:c r="D9" s="40" t="n">
        <x:v>63</x:v>
      </x:c>
      <x:c r="E9" s="40" t="n">
        <x:v>12</x:v>
      </x:c>
      <x:c r="F9" s="108" t="n">
        <x:v>2.695</x:v>
      </x:c>
      <x:c r="G9" s="108" t="n">
        <x:v>2.974</x:v>
      </x:c>
      <x:c r="H9" s="108" t="n">
        <x:v>-0.279</x:v>
      </x:c>
      <x:c r="I9" s="40" t="str">
        <x:v>−0.57 to +0.01</x:v>
      </x:c>
      <x:c r="J9" s="108" t="n">
        <x:v>0.096</x:v>
      </x:c>
      <x:c r="K9" s="108" t="n">
        <x:v>-0.6</x:v>
      </x:c>
      <x:c r="L9" s="40" t="str">
        <x:v>No</x:v>
      </x:c>
      <x:c r="M9" s="40" t="str">
        <x:v>Lower</x:v>
      </x:c>
    </x:row>
    <x:row r="10" ht="15" hidden="0" customHeight="1">
      <x:c r="A10" s="40" t="str">
        <x:v>PO₄³⁻</x:v>
      </x:c>
      <x:c r="B10" s="40" t="str">
        <x:v>Northern</x:v>
      </x:c>
      <x:c r="C10" s="40" t="str">
        <x:v>Pre-monsoon</x:v>
      </x:c>
      <x:c r="D10" s="40" t="n">
        <x:v>63</x:v>
      </x:c>
      <x:c r="E10" s="40" t="n">
        <x:v>12</x:v>
      </x:c>
      <x:c r="F10" s="108" t="n">
        <x:v>0.0083</x:v>
      </x:c>
      <x:c r="G10" s="108" t="n">
        <x:v>0.0039</x:v>
      </x:c>
      <x:c r="H10" s="108" t="n">
        <x:v>0.0045</x:v>
      </x:c>
      <x:c r="I10" s="40" t="str">
        <x:v>+0.0024 to +0.0067</x:v>
      </x:c>
      <x:c r="J10" s="108" t="str">
        <x:v>&lt;0.001</x:v>
      </x:c>
      <x:c r="K10" s="108" t="n">
        <x:v>0.6</x:v>
      </x:c>
      <x:c r="L10" s="40" t="str">
        <x:v>Yes</x:v>
      </x:c>
      <x:c r="M10" s="40" t="str">
        <x:v>Higher</x:v>
      </x:c>
    </x:row>
    <x:row r="11" ht="15" hidden="0" customHeight="1">
      <x:c r="A11" s="40" t="str">
        <x:v>Si</x:v>
      </x:c>
      <x:c r="B11" s="40" t="str">
        <x:v>Northern</x:v>
      </x:c>
      <x:c r="C11" s="40" t="str">
        <x:v>Pre-monsoon</x:v>
      </x:c>
      <x:c r="D11" s="40" t="n">
        <x:v>63</x:v>
      </x:c>
      <x:c r="E11" s="40" t="n">
        <x:v>12</x:v>
      </x:c>
      <x:c r="F11" s="108" t="n">
        <x:v>8.513</x:v>
      </x:c>
      <x:c r="G11" s="108" t="n">
        <x:v>9.264</x:v>
      </x:c>
      <x:c r="H11" s="108" t="n">
        <x:v>-0.751</x:v>
      </x:c>
      <x:c r="I11" s="40" t="str">
        <x:v>−1.24 to −0.24</x:v>
      </x:c>
      <x:c r="J11" s="108" t="n">
        <x:v>0.011</x:v>
      </x:c>
      <x:c r="K11" s="108" t="n">
        <x:v>-0.81</x:v>
      </x:c>
      <x:c r="L11" s="40" t="str">
        <x:v>Yes</x:v>
      </x:c>
      <x:c r="M11" s="40" t="str">
        <x:v>Lower</x:v>
      </x:c>
    </x:row>
    <x:row r="12" ht="15" hidden="0" customHeight="1">
      <x:c r="A12" s="40" t="str">
        <x:v>DO</x:v>
      </x:c>
      <x:c r="B12" s="40" t="str">
        <x:v>Northern</x:v>
      </x:c>
      <x:c r="C12" s="40" t="str">
        <x:v>Pre-monsoon</x:v>
      </x:c>
      <x:c r="D12" s="40" t="n">
        <x:v>63</x:v>
      </x:c>
      <x:c r="E12" s="40" t="n">
        <x:v>12</x:v>
      </x:c>
      <x:c r="F12" s="108" t="n">
        <x:v>206.758</x:v>
      </x:c>
      <x:c r="G12" s="108" t="n">
        <x:v>207.749</x:v>
      </x:c>
      <x:c r="H12" s="108" t="n">
        <x:v>-0.991</x:v>
      </x:c>
      <x:c r="I12" s="40" t="str">
        <x:v>−1.46 to −0.51</x:v>
      </x:c>
      <x:c r="J12" s="108" t="str">
        <x:v>&lt;0.001</x:v>
      </x:c>
      <x:c r="K12" s="108" t="n">
        <x:v>-0.8</x:v>
      </x:c>
      <x:c r="L12" s="40" t="str">
        <x:v>Yes</x:v>
      </x:c>
      <x:c r="M12" s="40" t="str">
        <x:v>Lower</x:v>
      </x:c>
    </x:row>
    <x:row r="13" ht="15" hidden="0" customHeight="1">
      <x:c r="A13" s="40" t="str">
        <x:v>NO₃⁻</x:v>
      </x:c>
      <x:c r="B13" s="40" t="str">
        <x:v>Northern</x:v>
      </x:c>
      <x:c r="C13" s="40" t="str">
        <x:v>Monsoon</x:v>
      </x:c>
      <x:c r="D13" s="40" t="n">
        <x:v>89</x:v>
      </x:c>
      <x:c r="E13" s="40" t="n">
        <x:v>17</x:v>
      </x:c>
      <x:c r="F13" s="108" t="n">
        <x:v>5.212</x:v>
      </x:c>
      <x:c r="G13" s="108" t="n">
        <x:v>5.536</x:v>
      </x:c>
      <x:c r="H13" s="108" t="n">
        <x:v>-0.323</x:v>
      </x:c>
      <x:c r="I13" s="40" t="str">
        <x:v>−0.50 to −0.17</x:v>
      </x:c>
      <x:c r="J13" s="108" t="n">
        <x:v>0.001</x:v>
      </x:c>
      <x:c r="K13" s="108" t="n">
        <x:v>-0.88</x:v>
      </x:c>
      <x:c r="L13" s="40" t="str">
        <x:v>Yes</x:v>
      </x:c>
      <x:c r="M13" s="40" t="str">
        <x:v>Lower</x:v>
      </x:c>
    </x:row>
    <x:row r="14" ht="15" hidden="0" customHeight="1">
      <x:c r="A14" s="40" t="str">
        <x:v>PO₄³⁻</x:v>
      </x:c>
      <x:c r="B14" s="40" t="str">
        <x:v>Northern</x:v>
      </x:c>
      <x:c r="C14" s="40" t="str">
        <x:v>Monsoon</x:v>
      </x:c>
      <x:c r="D14" s="40" t="n">
        <x:v>89</x:v>
      </x:c>
      <x:c r="E14" s="40" t="n">
        <x:v>17</x:v>
      </x:c>
      <x:c r="F14" s="108" t="n">
        <x:v>0.0151</x:v>
      </x:c>
      <x:c r="G14" s="108" t="n">
        <x:v>0.0227</x:v>
      </x:c>
      <x:c r="H14" s="108" t="n">
        <x:v>-0.0075</x:v>
      </x:c>
      <x:c r="I14" s="40" t="str">
        <x:v>−0.0141 to −0.0008</x:v>
      </x:c>
      <x:c r="J14" s="108" t="n">
        <x:v>0.043</x:v>
      </x:c>
      <x:c r="K14" s="108" t="n">
        <x:v>-0.73</x:v>
      </x:c>
      <x:c r="L14" s="40" t="str">
        <x:v>Yes</x:v>
      </x:c>
      <x:c r="M14" s="40" t="str">
        <x:v>Lower</x:v>
      </x:c>
    </x:row>
    <x:row r="15" ht="15" hidden="0" customHeight="1">
      <x:c r="A15" s="40" t="str">
        <x:v>Si</x:v>
      </x:c>
      <x:c r="B15" s="40" t="str">
        <x:v>Northern</x:v>
      </x:c>
      <x:c r="C15" s="40" t="str">
        <x:v>Monsoon</x:v>
      </x:c>
      <x:c r="D15" s="40" t="n">
        <x:v>89</x:v>
      </x:c>
      <x:c r="E15" s="40" t="n">
        <x:v>17</x:v>
      </x:c>
      <x:c r="F15" s="108" t="n">
        <x:v>9.972</x:v>
      </x:c>
      <x:c r="G15" s="108" t="n">
        <x:v>10.4</x:v>
      </x:c>
      <x:c r="H15" s="108" t="n">
        <x:v>-0.429</x:v>
      </x:c>
      <x:c r="I15" s="40" t="str">
        <x:v>−0.74 to −0.11</x:v>
      </x:c>
      <x:c r="J15" s="108" t="n">
        <x:v>0.013</x:v>
      </x:c>
      <x:c r="K15" s="108" t="n">
        <x:v>-0.57</x:v>
      </x:c>
      <x:c r="L15" s="40" t="str">
        <x:v>Yes</x:v>
      </x:c>
      <x:c r="M15" s="40" t="str">
        <x:v>Lower</x:v>
      </x:c>
    </x:row>
    <x:row r="16" ht="15" hidden="0" customHeight="1">
      <x:c r="A16" s="40" t="str">
        <x:v>DO</x:v>
      </x:c>
      <x:c r="B16" s="40" t="str">
        <x:v>Northern</x:v>
      </x:c>
      <x:c r="C16" s="40" t="str">
        <x:v>Monsoon</x:v>
      </x:c>
      <x:c r="D16" s="40" t="n">
        <x:v>89</x:v>
      </x:c>
      <x:c r="E16" s="40" t="n">
        <x:v>17</x:v>
      </x:c>
      <x:c r="F16" s="108" t="n">
        <x:v>205.205</x:v>
      </x:c>
      <x:c r="G16" s="108" t="n">
        <x:v>206.261</x:v>
      </x:c>
      <x:c r="H16" s="108" t="n">
        <x:v>-1.056</x:v>
      </x:c>
      <x:c r="I16" s="40" t="str">
        <x:v>−1.39 to −0.72</x:v>
      </x:c>
      <x:c r="J16" s="108" t="str">
        <x:v>&lt;0.001</x:v>
      </x:c>
      <x:c r="K16" s="108" t="n">
        <x:v>-1.1</x:v>
      </x:c>
      <x:c r="L16" s="40" t="str">
        <x:v>Yes</x:v>
      </x:c>
      <x:c r="M16" s="40" t="str">
        <x:v>Lower</x:v>
      </x:c>
    </x:row>
    <x:row r="17" ht="15" hidden="0" customHeight="1">
      <x:c r="A17" s="40" t="str">
        <x:v>NO₃⁻</x:v>
      </x:c>
      <x:c r="B17" s="40" t="str">
        <x:v>Northern</x:v>
      </x:c>
      <x:c r="C17" s="40" t="str">
        <x:v>Post-monsoon</x:v>
      </x:c>
      <x:c r="D17" s="40" t="n">
        <x:v>42</x:v>
      </x:c>
      <x:c r="E17" s="40" t="n">
        <x:v>9</x:v>
      </x:c>
      <x:c r="F17" s="108" t="n">
        <x:v>7.867</x:v>
      </x:c>
      <x:c r="G17" s="108" t="n">
        <x:v>8.203</x:v>
      </x:c>
      <x:c r="H17" s="108" t="n">
        <x:v>-0.335</x:v>
      </x:c>
      <x:c r="I17" s="40" t="str">
        <x:v>−0.90 to +0.19</x:v>
      </x:c>
      <x:c r="J17" s="108" t="n">
        <x:v>0.266</x:v>
      </x:c>
      <x:c r="K17" s="108" t="n">
        <x:v>-0.43</x:v>
      </x:c>
      <x:c r="L17" s="40" t="str">
        <x:v>No</x:v>
      </x:c>
      <x:c r="M17" s="40" t="str">
        <x:v>Lower</x:v>
      </x:c>
    </x:row>
    <x:row r="18" ht="15" hidden="0" customHeight="1">
      <x:c r="A18" s="40" t="str">
        <x:v>PO₄³⁻</x:v>
      </x:c>
      <x:c r="B18" s="40" t="str">
        <x:v>Northern</x:v>
      </x:c>
      <x:c r="C18" s="40" t="str">
        <x:v>Post-monsoon</x:v>
      </x:c>
      <x:c r="D18" s="40" t="n">
        <x:v>42</x:v>
      </x:c>
      <x:c r="E18" s="40" t="n">
        <x:v>9</x:v>
      </x:c>
      <x:c r="F18" s="108" t="n">
        <x:v>0.0048</x:v>
      </x:c>
      <x:c r="G18" s="108" t="n">
        <x:v>0.0051</x:v>
      </x:c>
      <x:c r="H18" s="108" t="n">
        <x:v>-0.0003</x:v>
      </x:c>
      <x:c r="I18" s="40" t="str">
        <x:v>−0.0031 to +0.0020</x:v>
      </x:c>
      <x:c r="J18" s="108" t="n">
        <x:v>0.824</x:v>
      </x:c>
      <x:c r="K18" s="108" t="n">
        <x:v>-0.09</x:v>
      </x:c>
      <x:c r="L18" s="40" t="str">
        <x:v>No</x:v>
      </x:c>
      <x:c r="M18" s="40" t="str">
        <x:v>Lower</x:v>
      </x:c>
    </x:row>
    <x:row r="19" ht="15" hidden="0" customHeight="1">
      <x:c r="A19" s="40" t="str">
        <x:v>Si</x:v>
      </x:c>
      <x:c r="B19" s="40" t="str">
        <x:v>Northern</x:v>
      </x:c>
      <x:c r="C19" s="40" t="str">
        <x:v>Post-monsoon</x:v>
      </x:c>
      <x:c r="D19" s="40" t="n">
        <x:v>42</x:v>
      </x:c>
      <x:c r="E19" s="40" t="n">
        <x:v>9</x:v>
      </x:c>
      <x:c r="F19" s="108" t="n">
        <x:v>13.647</x:v>
      </x:c>
      <x:c r="G19" s="108" t="n">
        <x:v>13.761</x:v>
      </x:c>
      <x:c r="H19" s="108" t="n">
        <x:v>-0.114</x:v>
      </x:c>
      <x:c r="I19" s="40" t="str">
        <x:v>−0.72 to +0.55</x:v>
      </x:c>
      <x:c r="J19" s="108" t="n">
        <x:v>0.74</x:v>
      </x:c>
      <x:c r="K19" s="108" t="n">
        <x:v>-0.12</x:v>
      </x:c>
      <x:c r="L19" s="40" t="str">
        <x:v>No</x:v>
      </x:c>
      <x:c r="M19" s="40" t="str">
        <x:v>Lower</x:v>
      </x:c>
    </x:row>
    <x:row r="20" ht="15" hidden="0" customHeight="1">
      <x:c r="A20" s="40" t="str">
        <x:v>DO</x:v>
      </x:c>
      <x:c r="B20" s="40" t="str">
        <x:v>Northern</x:v>
      </x:c>
      <x:c r="C20" s="40" t="str">
        <x:v>Post-monsoon</x:v>
      </x:c>
      <x:c r="D20" s="40" t="n">
        <x:v>42</x:v>
      </x:c>
      <x:c r="E20" s="40" t="n">
        <x:v>9</x:v>
      </x:c>
      <x:c r="F20" s="108" t="n">
        <x:v>210.034</x:v>
      </x:c>
      <x:c r="G20" s="108" t="n">
        <x:v>210.496</x:v>
      </x:c>
      <x:c r="H20" s="108" t="n">
        <x:v>-0.461</x:v>
      </x:c>
      <x:c r="I20" s="40" t="str">
        <x:v>−1.35 to +0.38</x:v>
      </x:c>
      <x:c r="J20" s="108" t="n">
        <x:v>0.342</x:v>
      </x:c>
      <x:c r="K20" s="108" t="n">
        <x:v>-0.34</x:v>
      </x:c>
      <x:c r="L20" s="40" t="str">
        <x:v>No</x:v>
      </x:c>
      <x:c r="M20" s="40" t="str">
        <x:v>Lower</x:v>
      </x:c>
    </x:row>
    <x:row r="21" ht="15" hidden="0" customHeight="1">
      <x:c r="A21" s="40" t="str">
        <x:v>NO₃⁻</x:v>
      </x:c>
      <x:c r="B21" s="40" t="str">
        <x:v>Central</x:v>
      </x:c>
      <x:c r="C21" s="40" t="str">
        <x:v>Winter</x:v>
      </x:c>
      <x:c r="D21" s="40" t="n">
        <x:v>60</x:v>
      </x:c>
      <x:c r="E21" s="40" t="n">
        <x:v>14</x:v>
      </x:c>
      <x:c r="F21" s="108" t="n">
        <x:v>0.709</x:v>
      </x:c>
      <x:c r="G21" s="108" t="n">
        <x:v>0.742</x:v>
      </x:c>
      <x:c r="H21" s="108" t="n">
        <x:v>-0.033</x:v>
      </x:c>
      <x:c r="I21" s="40" t="str">
        <x:v>−0.0885 to +0.0241</x:v>
      </x:c>
      <x:c r="J21" s="108" t="n">
        <x:v>0.269</x:v>
      </x:c>
      <x:c r="K21" s="108" t="n">
        <x:v>-0.27</x:v>
      </x:c>
      <x:c r="L21" s="40" t="str">
        <x:v>No</x:v>
      </x:c>
      <x:c r="M21" s="40" t="str">
        <x:v>Lower</x:v>
      </x:c>
    </x:row>
    <x:row r="22" ht="15" hidden="0" customHeight="1">
      <x:c r="A22" s="40" t="str">
        <x:v>PO₄³⁻</x:v>
      </x:c>
      <x:c r="B22" s="40" t="str">
        <x:v>Central</x:v>
      </x:c>
      <x:c r="C22" s="40" t="str">
        <x:v>Winter</x:v>
      </x:c>
      <x:c r="D22" s="40" t="n">
        <x:v>60</x:v>
      </x:c>
      <x:c r="E22" s="40" t="n">
        <x:v>14</x:v>
      </x:c>
      <x:c r="F22" s="108" t="n">
        <x:v>0.016</x:v>
      </x:c>
      <x:c r="G22" s="108" t="n">
        <x:v>0.0127</x:v>
      </x:c>
      <x:c r="H22" s="108" t="n">
        <x:v>0.0033</x:v>
      </x:c>
      <x:c r="I22" s="40" t="str">
        <x:v>+0.0006 to +0.0061</x:v>
      </x:c>
      <x:c r="J22" s="108" t="n">
        <x:v>0.029</x:v>
      </x:c>
      <x:c r="K22" s="108" t="n">
        <x:v>0.48</x:v>
      </x:c>
      <x:c r="L22" s="40" t="str">
        <x:v>Yes</x:v>
      </x:c>
      <x:c r="M22" s="40" t="str">
        <x:v>Higher</x:v>
      </x:c>
    </x:row>
    <x:row r="23" ht="15" hidden="0" customHeight="1">
      <x:c r="A23" s="40" t="str">
        <x:v>Si</x:v>
      </x:c>
      <x:c r="B23" s="40" t="str">
        <x:v>Central</x:v>
      </x:c>
      <x:c r="C23" s="40" t="str">
        <x:v>Winter</x:v>
      </x:c>
      <x:c r="D23" s="40" t="n">
        <x:v>60</x:v>
      </x:c>
      <x:c r="E23" s="40" t="n">
        <x:v>14</x:v>
      </x:c>
      <x:c r="F23" s="108" t="n">
        <x:v>6.476</x:v>
      </x:c>
      <x:c r="G23" s="108" t="n">
        <x:v>6.286</x:v>
      </x:c>
      <x:c r="H23" s="108" t="n">
        <x:v>0.19</x:v>
      </x:c>
      <x:c r="I23" s="40" t="str">
        <x:v>−0.13 to +0.53</x:v>
      </x:c>
      <x:c r="J23" s="108" t="n">
        <x:v>0.293</x:v>
      </x:c>
      <x:c r="K23" s="108" t="n">
        <x:v>0.37</x:v>
      </x:c>
      <x:c r="L23" s="40" t="str">
        <x:v>No</x:v>
      </x:c>
      <x:c r="M23" s="40" t="str">
        <x:v>Higher</x:v>
      </x:c>
    </x:row>
    <x:row r="24" ht="15" hidden="0" customHeight="1">
      <x:c r="A24" s="40" t="str">
        <x:v>DO</x:v>
      </x:c>
      <x:c r="B24" s="40" t="str">
        <x:v>Central</x:v>
      </x:c>
      <x:c r="C24" s="40" t="str">
        <x:v>Winter</x:v>
      </x:c>
      <x:c r="D24" s="40" t="n">
        <x:v>60</x:v>
      </x:c>
      <x:c r="E24" s="40" t="n">
        <x:v>14</x:v>
      </x:c>
      <x:c r="F24" s="108" t="n">
        <x:v>206.187</x:v>
      </x:c>
      <x:c r="G24" s="108" t="n">
        <x:v>207.167</x:v>
      </x:c>
      <x:c r="H24" s="108" t="n">
        <x:v>-0.98</x:v>
      </x:c>
      <x:c r="I24" s="40" t="str">
        <x:v>−1.39 to −0.57</x:v>
      </x:c>
      <x:c r="J24" s="108" t="str">
        <x:v>&lt;0.001</x:v>
      </x:c>
      <x:c r="K24" s="108" t="n">
        <x:v>-1.41</x:v>
      </x:c>
      <x:c r="L24" s="40" t="str">
        <x:v>Yes</x:v>
      </x:c>
      <x:c r="M24" s="40" t="str">
        <x:v>Lower</x:v>
      </x:c>
    </x:row>
    <x:row r="25" ht="15" hidden="0" customHeight="1">
      <x:c r="A25" s="40" t="str">
        <x:v>NO₃⁻</x:v>
      </x:c>
      <x:c r="B25" s="40" t="str">
        <x:v>Central</x:v>
      </x:c>
      <x:c r="C25" s="40" t="str">
        <x:v>Pre-monsoon</x:v>
      </x:c>
      <x:c r="D25" s="40" t="n">
        <x:v>61</x:v>
      </x:c>
      <x:c r="E25" s="40" t="n">
        <x:v>18</x:v>
      </x:c>
      <x:c r="F25" s="108" t="n">
        <x:v>0.693</x:v>
      </x:c>
      <x:c r="G25" s="108" t="n">
        <x:v>0.636</x:v>
      </x:c>
      <x:c r="H25" s="108" t="n">
        <x:v>0.0566</x:v>
      </x:c>
      <x:c r="I25" s="40" t="str">
        <x:v>−0.04 to +0.16</x:v>
      </x:c>
      <x:c r="J25" s="108" t="n">
        <x:v>0.287</x:v>
      </x:c>
      <x:c r="K25" s="108" t="n">
        <x:v>0.27</x:v>
      </x:c>
      <x:c r="L25" s="40" t="str">
        <x:v>No</x:v>
      </x:c>
      <x:c r="M25" s="40" t="str">
        <x:v>Higher</x:v>
      </x:c>
    </x:row>
    <x:row r="26" ht="15" hidden="0" customHeight="1">
      <x:c r="A26" s="40" t="str">
        <x:v>PO₄³⁻</x:v>
      </x:c>
      <x:c r="B26" s="40" t="str">
        <x:v>Central</x:v>
      </x:c>
      <x:c r="C26" s="40" t="str">
        <x:v>Pre-monsoon</x:v>
      </x:c>
      <x:c r="D26" s="40" t="n">
        <x:v>61</x:v>
      </x:c>
      <x:c r="E26" s="40" t="n">
        <x:v>18</x:v>
      </x:c>
      <x:c r="F26" s="108" t="n">
        <x:v>0.0034</x:v>
      </x:c>
      <x:c r="G26" s="108" t="n">
        <x:v>0.0022</x:v>
      </x:c>
      <x:c r="H26" s="108" t="n">
        <x:v>0.0012</x:v>
      </x:c>
      <x:c r="I26" s="40" t="str">
        <x:v>−0.0003 to +0.0026</x:v>
      </x:c>
      <x:c r="J26" s="108" t="n">
        <x:v>0.126</x:v>
      </x:c>
      <x:c r="K26" s="108" t="n">
        <x:v>0.33</x:v>
      </x:c>
      <x:c r="L26" s="40" t="str">
        <x:v>No</x:v>
      </x:c>
      <x:c r="M26" s="40" t="str">
        <x:v>Higher</x:v>
      </x:c>
    </x:row>
    <x:row r="27" ht="15" hidden="0" customHeight="1">
      <x:c r="A27" s="40" t="str">
        <x:v>Si</x:v>
      </x:c>
      <x:c r="B27" s="40" t="str">
        <x:v>Central</x:v>
      </x:c>
      <x:c r="C27" s="40" t="str">
        <x:v>Pre-monsoon</x:v>
      </x:c>
      <x:c r="D27" s="40" t="n">
        <x:v>61</x:v>
      </x:c>
      <x:c r="E27" s="40" t="n">
        <x:v>18</x:v>
      </x:c>
      <x:c r="F27" s="108" t="n">
        <x:v>6.468</x:v>
      </x:c>
      <x:c r="G27" s="108" t="n">
        <x:v>6.428</x:v>
      </x:c>
      <x:c r="H27" s="108" t="n">
        <x:v>0.0398</x:v>
      </x:c>
      <x:c r="I27" s="40" t="str">
        <x:v>−0.30 to +0.38</x:v>
      </x:c>
      <x:c r="J27" s="108" t="n">
        <x:v>0.822</x:v>
      </x:c>
      <x:c r="K27" s="108" t="n">
        <x:v>0.06</x:v>
      </x:c>
      <x:c r="L27" s="40" t="str">
        <x:v>No</x:v>
      </x:c>
      <x:c r="M27" s="40" t="str">
        <x:v>Higher</x:v>
      </x:c>
    </x:row>
    <x:row r="28" ht="15" hidden="0" customHeight="1">
      <x:c r="A28" s="40" t="str">
        <x:v>DO</x:v>
      </x:c>
      <x:c r="B28" s="40" t="str">
        <x:v>Central</x:v>
      </x:c>
      <x:c r="C28" s="40" t="str">
        <x:v>Pre-monsoon</x:v>
      </x:c>
      <x:c r="D28" s="40" t="n">
        <x:v>61</x:v>
      </x:c>
      <x:c r="E28" s="40" t="n">
        <x:v>18</x:v>
      </x:c>
      <x:c r="F28" s="108" t="n">
        <x:v>203.223</x:v>
      </x:c>
      <x:c r="G28" s="108" t="n">
        <x:v>203.39</x:v>
      </x:c>
      <x:c r="H28" s="108" t="n">
        <x:v>-0.167</x:v>
      </x:c>
      <x:c r="I28" s="40" t="str">
        <x:v>−0.52 to +0.19</x:v>
      </x:c>
      <x:c r="J28" s="108" t="n">
        <x:v>0.379</x:v>
      </x:c>
      <x:c r="K28" s="108" t="n">
        <x:v>-0.2</x:v>
      </x:c>
      <x:c r="L28" s="40" t="str">
        <x:v>No</x:v>
      </x:c>
      <x:c r="M28" s="40" t="str">
        <x:v>Lower</x:v>
      </x:c>
    </x:row>
    <x:row r="29" ht="15" hidden="0" customHeight="1">
      <x:c r="A29" s="40" t="str">
        <x:v>NO₃⁻</x:v>
      </x:c>
      <x:c r="B29" s="40" t="str">
        <x:v>Central</x:v>
      </x:c>
      <x:c r="C29" s="40" t="str">
        <x:v>Monsoon</x:v>
      </x:c>
      <x:c r="D29" s="40" t="n">
        <x:v>81</x:v>
      </x:c>
      <x:c r="E29" s="40" t="n">
        <x:v>23</x:v>
      </x:c>
      <x:c r="F29" s="108" t="n">
        <x:v>0.618</x:v>
      </x:c>
      <x:c r="G29" s="108" t="n">
        <x:v>0.615</x:v>
      </x:c>
      <x:c r="H29" s="108" t="n">
        <x:v>0.0023</x:v>
      </x:c>
      <x:c r="I29" s="40" t="str">
        <x:v>−0.0379 to +0.0429</x:v>
      </x:c>
      <x:c r="J29" s="108" t="n">
        <x:v>0.913</x:v>
      </x:c>
      <x:c r="K29" s="108" t="n">
        <x:v>0.02</x:v>
      </x:c>
      <x:c r="L29" s="40" t="str">
        <x:v>No</x:v>
      </x:c>
      <x:c r="M29" s="40" t="str">
        <x:v>Higher</x:v>
      </x:c>
    </x:row>
    <x:row r="30" ht="15" hidden="0" customHeight="1">
      <x:c r="A30" s="40" t="str">
        <x:v>PO₄³⁻</x:v>
      </x:c>
      <x:c r="B30" s="40" t="str">
        <x:v>Central</x:v>
      </x:c>
      <x:c r="C30" s="40" t="str">
        <x:v>Monsoon</x:v>
      </x:c>
      <x:c r="D30" s="40" t="n">
        <x:v>81</x:v>
      </x:c>
      <x:c r="E30" s="40" t="n">
        <x:v>23</x:v>
      </x:c>
      <x:c r="F30" s="108" t="n">
        <x:v>0.0123</x:v>
      </x:c>
      <x:c r="G30" s="108" t="n">
        <x:v>0.0129</x:v>
      </x:c>
      <x:c r="H30" s="108" t="n">
        <x:v>-0.0006</x:v>
      </x:c>
      <x:c r="I30" s="40" t="str">
        <x:v>−0.0026 to +0.0015</x:v>
      </x:c>
      <x:c r="J30" s="108" t="n">
        <x:v>0.611</x:v>
      </x:c>
      <x:c r="K30" s="108" t="n">
        <x:v>-0.09</x:v>
      </x:c>
      <x:c r="L30" s="40" t="str">
        <x:v>No</x:v>
      </x:c>
      <x:c r="M30" s="40" t="str">
        <x:v>Lower</x:v>
      </x:c>
    </x:row>
    <x:row r="31" ht="15" hidden="0" customHeight="1">
      <x:c r="A31" s="40" t="str">
        <x:v>Si</x:v>
      </x:c>
      <x:c r="B31" s="40" t="str">
        <x:v>Central</x:v>
      </x:c>
      <x:c r="C31" s="40" t="str">
        <x:v>Monsoon</x:v>
      </x:c>
      <x:c r="D31" s="40" t="n">
        <x:v>81</x:v>
      </x:c>
      <x:c r="E31" s="40" t="n">
        <x:v>23</x:v>
      </x:c>
      <x:c r="F31" s="108" t="n">
        <x:v>5.589</x:v>
      </x:c>
      <x:c r="G31" s="108" t="n">
        <x:v>5.401</x:v>
      </x:c>
      <x:c r="H31" s="108" t="n">
        <x:v>0.188</x:v>
      </x:c>
      <x:c r="I31" s="40" t="str">
        <x:v>−0.00 to +0.39</x:v>
      </x:c>
      <x:c r="J31" s="108" t="n">
        <x:v>0.065</x:v>
      </x:c>
      <x:c r="K31" s="108" t="n">
        <x:v>0.41</x:v>
      </x:c>
      <x:c r="L31" s="40" t="str">
        <x:v>No</x:v>
      </x:c>
      <x:c r="M31" s="40" t="str">
        <x:v>Higher</x:v>
      </x:c>
    </x:row>
    <x:row r="32" ht="15" hidden="0" customHeight="1">
      <x:c r="A32" s="40" t="str">
        <x:v>DO</x:v>
      </x:c>
      <x:c r="B32" s="40" t="str">
        <x:v>Central</x:v>
      </x:c>
      <x:c r="C32" s="40" t="str">
        <x:v>Monsoon</x:v>
      </x:c>
      <x:c r="D32" s="40" t="n">
        <x:v>81</x:v>
      </x:c>
      <x:c r="E32" s="40" t="n">
        <x:v>23</x:v>
      </x:c>
      <x:c r="F32" s="108" t="n">
        <x:v>200.954</x:v>
      </x:c>
      <x:c r="G32" s="108" t="n">
        <x:v>201.528</x:v>
      </x:c>
      <x:c r="H32" s="108" t="n">
        <x:v>-0.574</x:v>
      </x:c>
      <x:c r="I32" s="40" t="str">
        <x:v>−0.94 to −0.20</x:v>
      </x:c>
      <x:c r="J32" s="108" t="n">
        <x:v>0.005</x:v>
      </x:c>
      <x:c r="K32" s="108" t="n">
        <x:v>-0.71</x:v>
      </x:c>
      <x:c r="L32" s="40" t="str">
        <x:v>Yes</x:v>
      </x:c>
      <x:c r="M32" s="40" t="str">
        <x:v>Lower</x:v>
      </x:c>
    </x:row>
    <x:row r="33" ht="15" hidden="0" customHeight="1">
      <x:c r="A33" s="40" t="str">
        <x:v>NO₃⁻</x:v>
      </x:c>
      <x:c r="B33" s="40" t="str">
        <x:v>Central</x:v>
      </x:c>
      <x:c r="C33" s="40" t="str">
        <x:v>Post-monsoon</x:v>
      </x:c>
      <x:c r="D33" s="40" t="n">
        <x:v>42</x:v>
      </x:c>
      <x:c r="E33" s="40" t="n">
        <x:v>10</x:v>
      </x:c>
      <x:c r="F33" s="108" t="n">
        <x:v>1.195</x:v>
      </x:c>
      <x:c r="G33" s="108" t="n">
        <x:v>1.129</x:v>
      </x:c>
      <x:c r="H33" s="108" t="n">
        <x:v>0.0658</x:v>
      </x:c>
      <x:c r="I33" s="40" t="str">
        <x:v>−0.03 to +0.16</x:v>
      </x:c>
      <x:c r="J33" s="108" t="n">
        <x:v>0.215</x:v>
      </x:c>
      <x:c r="K33" s="108" t="n">
        <x:v>0.46</x:v>
      </x:c>
      <x:c r="L33" s="40" t="str">
        <x:v>No</x:v>
      </x:c>
      <x:c r="M33" s="40" t="str">
        <x:v>Higher</x:v>
      </x:c>
    </x:row>
    <x:row r="34" ht="15" hidden="0" customHeight="1">
      <x:c r="A34" s="40" t="str">
        <x:v>PO₄³⁻</x:v>
      </x:c>
      <x:c r="B34" s="40" t="str">
        <x:v>Central</x:v>
      </x:c>
      <x:c r="C34" s="40" t="str">
        <x:v>Post-monsoon</x:v>
      </x:c>
      <x:c r="D34" s="40" t="n">
        <x:v>42</x:v>
      </x:c>
      <x:c r="E34" s="40" t="n">
        <x:v>10</x:v>
      </x:c>
      <x:c r="F34" s="108" t="n">
        <x:v>0.0125</x:v>
      </x:c>
      <x:c r="G34" s="108" t="n">
        <x:v>0.0098</x:v>
      </x:c>
      <x:c r="H34" s="108" t="n">
        <x:v>0.0027</x:v>
      </x:c>
      <x:c r="I34" s="40" t="str">
        <x:v>−0.0001 to +0.0054</x:v>
      </x:c>
      <x:c r="J34" s="108" t="n">
        <x:v>0.079</x:v>
      </x:c>
      <x:c r="K34" s="108" t="n">
        <x:v>0.52</x:v>
      </x:c>
      <x:c r="L34" s="40" t="str">
        <x:v>No</x:v>
      </x:c>
      <x:c r="M34" s="40" t="str">
        <x:v>Higher</x:v>
      </x:c>
    </x:row>
    <x:row r="35" ht="15" hidden="0" customHeight="1">
      <x:c r="A35" s="40" t="str">
        <x:v>Si</x:v>
      </x:c>
      <x:c r="B35" s="40" t="str">
        <x:v>Central</x:v>
      </x:c>
      <x:c r="C35" s="40" t="str">
        <x:v>Post-monsoon</x:v>
      </x:c>
      <x:c r="D35" s="40" t="n">
        <x:v>42</x:v>
      </x:c>
      <x:c r="E35" s="40" t="n">
        <x:v>10</x:v>
      </x:c>
      <x:c r="F35" s="108" t="n">
        <x:v>6.409</x:v>
      </x:c>
      <x:c r="G35" s="108" t="n">
        <x:v>6.264</x:v>
      </x:c>
      <x:c r="H35" s="108" t="n">
        <x:v>0.145</x:v>
      </x:c>
      <x:c r="I35" s="40" t="str">
        <x:v>−0.28 to +0.54</x:v>
      </x:c>
      <x:c r="J35" s="108" t="n">
        <x:v>0.519</x:v>
      </x:c>
      <x:c r="K35" s="108" t="n">
        <x:v>0.28</x:v>
      </x:c>
      <x:c r="L35" s="40" t="str">
        <x:v>No</x:v>
      </x:c>
      <x:c r="M35" s="40" t="str">
        <x:v>Higher</x:v>
      </x:c>
    </x:row>
    <x:row r="36" ht="15" hidden="0" customHeight="1">
      <x:c r="A36" s="40" t="str">
        <x:v>DO</x:v>
      </x:c>
      <x:c r="B36" s="40" t="str">
        <x:v>Central</x:v>
      </x:c>
      <x:c r="C36" s="40" t="str">
        <x:v>Post-monsoon</x:v>
      </x:c>
      <x:c r="D36" s="40" t="n">
        <x:v>42</x:v>
      </x:c>
      <x:c r="E36" s="40" t="n">
        <x:v>10</x:v>
      </x:c>
      <x:c r="F36" s="108" t="n">
        <x:v>202.93</x:v>
      </x:c>
      <x:c r="G36" s="108" t="n">
        <x:v>203.53</x:v>
      </x:c>
      <x:c r="H36" s="108" t="n">
        <x:v>-0.599</x:v>
      </x:c>
      <x:c r="I36" s="40" t="str">
        <x:v>−1.05 to −0.15</x:v>
      </x:c>
      <x:c r="J36" s="108" t="n">
        <x:v>0.024</x:v>
      </x:c>
      <x:c r="K36" s="108" t="n">
        <x:v>-0.89</x:v>
      </x:c>
      <x:c r="L36" s="40" t="str">
        <x:v>Yes</x:v>
      </x:c>
      <x:c r="M36" s="40" t="str">
        <x:v>Lower</x:v>
      </x:c>
    </x:row>
    <x:row r="37" ht="15" hidden="0" customHeight="1">
      <x:c r="A37" s="40" t="str">
        <x:v>NO₃⁻</x:v>
      </x:c>
      <x:c r="B37" s="40" t="str">
        <x:v>Southern</x:v>
      </x:c>
      <x:c r="C37" s="40" t="str">
        <x:v>Winter</x:v>
      </x:c>
      <x:c r="D37" s="40" t="n">
        <x:v>52</x:v>
      </x:c>
      <x:c r="E37" s="40" t="n">
        <x:v>15</x:v>
      </x:c>
      <x:c r="F37" s="108" t="n">
        <x:v>0.102</x:v>
      </x:c>
      <x:c r="G37" s="108" t="n">
        <x:v>0.125</x:v>
      </x:c>
      <x:c r="H37" s="108" t="n">
        <x:v>-0.0227</x:v>
      </x:c>
      <x:c r="I37" s="40" t="str">
        <x:v>−0.0466 to +0.0022</x:v>
      </x:c>
      <x:c r="J37" s="108" t="n">
        <x:v>0.093</x:v>
      </x:c>
      <x:c r="K37" s="108" t="n">
        <x:v>-0.48</x:v>
      </x:c>
      <x:c r="L37" s="40" t="str">
        <x:v>No</x:v>
      </x:c>
      <x:c r="M37" s="40" t="str">
        <x:v>Lower</x:v>
      </x:c>
    </x:row>
    <x:row r="38" ht="15" hidden="0" customHeight="1">
      <x:c r="A38" s="40" t="str">
        <x:v>PO₄³⁻</x:v>
      </x:c>
      <x:c r="B38" s="40" t="str">
        <x:v>Southern</x:v>
      </x:c>
      <x:c r="C38" s="40" t="str">
        <x:v>Winter</x:v>
      </x:c>
      <x:c r="D38" s="40" t="n">
        <x:v>52</x:v>
      </x:c>
      <x:c r="E38" s="40" t="n">
        <x:v>15</x:v>
      </x:c>
      <x:c r="F38" s="108" t="n">
        <x:v>0.0177</x:v>
      </x:c>
      <x:c r="G38" s="108" t="n">
        <x:v>0.0108</x:v>
      </x:c>
      <x:c r="H38" s="108" t="n">
        <x:v>0.0069</x:v>
      </x:c>
      <x:c r="I38" s="40" t="str">
        <x:v>+0.0017 to +0.0120</x:v>
      </x:c>
      <x:c r="J38" s="108" t="n">
        <x:v>0.012</x:v>
      </x:c>
      <x:c r="K38" s="108" t="n">
        <x:v>0.53</x:v>
      </x:c>
      <x:c r="L38" s="40" t="str">
        <x:v>Yes</x:v>
      </x:c>
      <x:c r="M38" s="40" t="str">
        <x:v>Higher</x:v>
      </x:c>
    </x:row>
    <x:row r="39" ht="15" hidden="0" customHeight="1">
      <x:c r="A39" s="40" t="str">
        <x:v>Si</x:v>
      </x:c>
      <x:c r="B39" s="40" t="str">
        <x:v>Southern</x:v>
      </x:c>
      <x:c r="C39" s="40" t="str">
        <x:v>Winter</x:v>
      </x:c>
      <x:c r="D39" s="40" t="n">
        <x:v>52</x:v>
      </x:c>
      <x:c r="E39" s="40" t="n">
        <x:v>15</x:v>
      </x:c>
      <x:c r="F39" s="108" t="n">
        <x:v>4.926</x:v>
      </x:c>
      <x:c r="G39" s="108" t="n">
        <x:v>4.703</x:v>
      </x:c>
      <x:c r="H39" s="108" t="n">
        <x:v>0.223</x:v>
      </x:c>
      <x:c r="I39" s="40" t="str">
        <x:v>−0.19 to +0.64</x:v>
      </x:c>
      <x:c r="J39" s="108" t="n">
        <x:v>0.318</x:v>
      </x:c>
      <x:c r="K39" s="108" t="n">
        <x:v>0.37</x:v>
      </x:c>
      <x:c r="L39" s="40" t="str">
        <x:v>No</x:v>
      </x:c>
      <x:c r="M39" s="40" t="str">
        <x:v>Higher</x:v>
      </x:c>
    </x:row>
    <x:row r="40" ht="15" hidden="0" customHeight="1">
      <x:c r="A40" s="40" t="str">
        <x:v>DO</x:v>
      </x:c>
      <x:c r="B40" s="40" t="str">
        <x:v>Southern</x:v>
      </x:c>
      <x:c r="C40" s="40" t="str">
        <x:v>Winter</x:v>
      </x:c>
      <x:c r="D40" s="40" t="n">
        <x:v>52</x:v>
      </x:c>
      <x:c r="E40" s="40" t="n">
        <x:v>15</x:v>
      </x:c>
      <x:c r="F40" s="108" t="n">
        <x:v>202.912</x:v>
      </x:c>
      <x:c r="G40" s="108" t="n">
        <x:v>203.51</x:v>
      </x:c>
      <x:c r="H40" s="108" t="n">
        <x:v>-0.598</x:v>
      </x:c>
      <x:c r="I40" s="40" t="str">
        <x:v>−0.92 to −0.27</x:v>
      </x:c>
      <x:c r="J40" s="108" t="n">
        <x:v>0.001</x:v>
      </x:c>
      <x:c r="K40" s="108" t="n">
        <x:v>-0.82</x:v>
      </x:c>
      <x:c r="L40" s="40" t="str">
        <x:v>Yes</x:v>
      </x:c>
      <x:c r="M40" s="40" t="str">
        <x:v>Lower</x:v>
      </x:c>
    </x:row>
    <x:row r="41" ht="15" hidden="0" customHeight="1">
      <x:c r="A41" s="40" t="str">
        <x:v>NO₃⁻</x:v>
      </x:c>
      <x:c r="B41" s="40" t="str">
        <x:v>Southern</x:v>
      </x:c>
      <x:c r="C41" s="40" t="str">
        <x:v>Pre-monsoon</x:v>
      </x:c>
      <x:c r="D41" s="40" t="n">
        <x:v>53</x:v>
      </x:c>
      <x:c r="E41" s="40" t="n">
        <x:v>15</x:v>
      </x:c>
      <x:c r="F41" s="108" t="n">
        <x:v>0.0559</x:v>
      </x:c>
      <x:c r="G41" s="108" t="n">
        <x:v>0.0669</x:v>
      </x:c>
      <x:c r="H41" s="108" t="n">
        <x:v>-0.011</x:v>
      </x:c>
      <x:c r="I41" s="40" t="str">
        <x:v>−0.0333 to +0.0099</x:v>
      </x:c>
      <x:c r="J41" s="108" t="n">
        <x:v>0.336</x:v>
      </x:c>
      <x:c r="K41" s="108" t="n">
        <x:v>-0.33</x:v>
      </x:c>
      <x:c r="L41" s="40" t="str">
        <x:v>No</x:v>
      </x:c>
      <x:c r="M41" s="40" t="str">
        <x:v>Lower</x:v>
      </x:c>
    </x:row>
    <x:row r="42" ht="15" hidden="0" customHeight="1">
      <x:c r="A42" s="40" t="str">
        <x:v>PO₄³⁻</x:v>
      </x:c>
      <x:c r="B42" s="40" t="str">
        <x:v>Southern</x:v>
      </x:c>
      <x:c r="C42" s="40" t="str">
        <x:v>Pre-monsoon</x:v>
      </x:c>
      <x:c r="D42" s="40" t="n">
        <x:v>53</x:v>
      </x:c>
      <x:c r="E42" s="40" t="n">
        <x:v>15</x:v>
      </x:c>
      <x:c r="F42" s="108" t="n">
        <x:v>0.0093</x:v>
      </x:c>
      <x:c r="G42" s="108" t="n">
        <x:v>0.0031</x:v>
      </x:c>
      <x:c r="H42" s="108" t="n">
        <x:v>0.0062</x:v>
      </x:c>
      <x:c r="I42" s="40" t="str">
        <x:v>+0.0023 to +0.0107</x:v>
      </x:c>
      <x:c r="J42" s="108" t="n">
        <x:v>0.006</x:v>
      </x:c>
      <x:c r="K42" s="108" t="n">
        <x:v>0.46</x:v>
      </x:c>
      <x:c r="L42" s="40" t="str">
        <x:v>Yes</x:v>
      </x:c>
      <x:c r="M42" s="40" t="str">
        <x:v>Higher</x:v>
      </x:c>
    </x:row>
    <x:row r="43" ht="15" hidden="0" customHeight="1">
      <x:c r="A43" s="40" t="str">
        <x:v>Si</x:v>
      </x:c>
      <x:c r="B43" s="40" t="str">
        <x:v>Southern</x:v>
      </x:c>
      <x:c r="C43" s="40" t="str">
        <x:v>Pre-monsoon</x:v>
      </x:c>
      <x:c r="D43" s="40" t="n">
        <x:v>53</x:v>
      </x:c>
      <x:c r="E43" s="40" t="n">
        <x:v>15</x:v>
      </x:c>
      <x:c r="F43" s="108" t="n">
        <x:v>5.433</x:v>
      </x:c>
      <x:c r="G43" s="108" t="n">
        <x:v>5.619</x:v>
      </x:c>
      <x:c r="H43" s="108" t="n">
        <x:v>-0.186</x:v>
      </x:c>
      <x:c r="I43" s="40" t="str">
        <x:v>−0.65 to +0.29</x:v>
      </x:c>
      <x:c r="J43" s="108" t="n">
        <x:v>0.46</x:v>
      </x:c>
      <x:c r="K43" s="108" t="n">
        <x:v>-0.21</x:v>
      </x:c>
      <x:c r="L43" s="40" t="str">
        <x:v>No</x:v>
      </x:c>
      <x:c r="M43" s="40" t="str">
        <x:v>Lower</x:v>
      </x:c>
    </x:row>
    <x:row r="44" ht="15" hidden="0" customHeight="1">
      <x:c r="A44" s="40" t="str">
        <x:v>DO</x:v>
      </x:c>
      <x:c r="B44" s="40" t="str">
        <x:v>Southern</x:v>
      </x:c>
      <x:c r="C44" s="40" t="str">
        <x:v>Pre-monsoon</x:v>
      </x:c>
      <x:c r="D44" s="40" t="n">
        <x:v>53</x:v>
      </x:c>
      <x:c r="E44" s="40" t="n">
        <x:v>15</x:v>
      </x:c>
      <x:c r="F44" s="108" t="n">
        <x:v>200.916</x:v>
      </x:c>
      <x:c r="G44" s="108" t="n">
        <x:v>201.283</x:v>
      </x:c>
      <x:c r="H44" s="108" t="n">
        <x:v>-0.367</x:v>
      </x:c>
      <x:c r="I44" s="40" t="str">
        <x:v>−0.75 to +0.01</x:v>
      </x:c>
      <x:c r="J44" s="108" t="n">
        <x:v>0.077</x:v>
      </x:c>
      <x:c r="K44" s="108" t="n">
        <x:v>-0.48</x:v>
      </x:c>
      <x:c r="L44" s="40" t="str">
        <x:v>No</x:v>
      </x:c>
      <x:c r="M44" s="40" t="str">
        <x:v>Lower</x:v>
      </x:c>
    </x:row>
    <x:row r="45" ht="15" hidden="0" customHeight="1">
      <x:c r="A45" s="40" t="str">
        <x:v>NO₃⁻</x:v>
      </x:c>
      <x:c r="B45" s="40" t="str">
        <x:v>Southern</x:v>
      </x:c>
      <x:c r="C45" s="40" t="str">
        <x:v>Monsoon</x:v>
      </x:c>
      <x:c r="D45" s="40" t="n">
        <x:v>78</x:v>
      </x:c>
      <x:c r="E45" s="40" t="n">
        <x:v>27</x:v>
      </x:c>
      <x:c r="F45" s="108" t="n">
        <x:v>0.0465</x:v>
      </x:c>
      <x:c r="G45" s="108" t="n">
        <x:v>0.0476</x:v>
      </x:c>
      <x:c r="H45" s="108" t="n">
        <x:v>-0.0011</x:v>
      </x:c>
      <x:c r="I45" s="40" t="str">
        <x:v>−0.0093 to +0.0067</x:v>
      </x:c>
      <x:c r="J45" s="108" t="n">
        <x:v>0.797</x:v>
      </x:c>
      <x:c r="K45" s="108" t="n">
        <x:v>-0.06</x:v>
      </x:c>
      <x:c r="L45" s="40" t="str">
        <x:v>No</x:v>
      </x:c>
      <x:c r="M45" s="40" t="str">
        <x:v>Lower</x:v>
      </x:c>
    </x:row>
    <x:row r="46" ht="15" hidden="0" customHeight="1">
      <x:c r="A46" s="40" t="str">
        <x:v>PO₄³⁻</x:v>
      </x:c>
      <x:c r="B46" s="40" t="str">
        <x:v>Southern</x:v>
      </x:c>
      <x:c r="C46" s="40" t="str">
        <x:v>Monsoon</x:v>
      </x:c>
      <x:c r="D46" s="40" t="n">
        <x:v>78</x:v>
      </x:c>
      <x:c r="E46" s="40" t="n">
        <x:v>27</x:v>
      </x:c>
      <x:c r="F46" s="108" t="n">
        <x:v>0.0327</x:v>
      </x:c>
      <x:c r="G46" s="108" t="n">
        <x:v>0.0306</x:v>
      </x:c>
      <x:c r="H46" s="108" t="n">
        <x:v>0.0021</x:v>
      </x:c>
      <x:c r="I46" s="40" t="str">
        <x:v>−0.0010 to +0.0052</x:v>
      </x:c>
      <x:c r="J46" s="108" t="n">
        <x:v>0.202</x:v>
      </x:c>
      <x:c r="K46" s="108" t="n">
        <x:v>0.28</x:v>
      </x:c>
      <x:c r="L46" s="40" t="str">
        <x:v>No</x:v>
      </x:c>
      <x:c r="M46" s="40" t="str">
        <x:v>Higher</x:v>
      </x:c>
    </x:row>
    <x:row r="47" ht="15" hidden="0" customHeight="1">
      <x:c r="A47" s="40" t="str">
        <x:v>Si</x:v>
      </x:c>
      <x:c r="B47" s="40" t="str">
        <x:v>Southern</x:v>
      </x:c>
      <x:c r="C47" s="40" t="str">
        <x:v>Monsoon</x:v>
      </x:c>
      <x:c r="D47" s="40" t="n">
        <x:v>78</x:v>
      </x:c>
      <x:c r="E47" s="40" t="n">
        <x:v>27</x:v>
      </x:c>
      <x:c r="F47" s="108" t="n">
        <x:v>4.26</x:v>
      </x:c>
      <x:c r="G47" s="108" t="n">
        <x:v>4.365</x:v>
      </x:c>
      <x:c r="H47" s="108" t="n">
        <x:v>-0.104</x:v>
      </x:c>
      <x:c r="I47" s="40" t="str">
        <x:v>−0.30 to +0.09</x:v>
      </x:c>
      <x:c r="J47" s="108" t="n">
        <x:v>0.295</x:v>
      </x:c>
      <x:c r="K47" s="108" t="n">
        <x:v>-0.19</x:v>
      </x:c>
      <x:c r="L47" s="40" t="str">
        <x:v>No</x:v>
      </x:c>
      <x:c r="M47" s="40" t="str">
        <x:v>Lower</x:v>
      </x:c>
    </x:row>
    <x:row r="48" ht="15" hidden="0" customHeight="1">
      <x:c r="A48" s="40" t="str">
        <x:v>DO</x:v>
      </x:c>
      <x:c r="B48" s="40" t="str">
        <x:v>Southern</x:v>
      </x:c>
      <x:c r="C48" s="40" t="str">
        <x:v>Monsoon</x:v>
      </x:c>
      <x:c r="D48" s="40" t="n">
        <x:v>78</x:v>
      </x:c>
      <x:c r="E48" s="40" t="n">
        <x:v>27</x:v>
      </x:c>
      <x:c r="F48" s="108" t="n">
        <x:v>200.264</x:v>
      </x:c>
      <x:c r="G48" s="108" t="n">
        <x:v>200.804</x:v>
      </x:c>
      <x:c r="H48" s="108" t="n">
        <x:v>-0.54</x:v>
      </x:c>
      <x:c r="I48" s="40" t="str">
        <x:v>−0.84 to −0.24</x:v>
      </x:c>
      <x:c r="J48" s="108" t="str">
        <x:v>&lt;0.001</x:v>
      </x:c>
      <x:c r="K48" s="108" t="n">
        <x:v>-0.64</x:v>
      </x:c>
      <x:c r="L48" s="40" t="str">
        <x:v>Yes</x:v>
      </x:c>
      <x:c r="M48" s="40" t="str">
        <x:v>Lower</x:v>
      </x:c>
    </x:row>
    <x:row r="49" ht="15" hidden="0" customHeight="1">
      <x:c r="A49" s="40" t="str">
        <x:v>NO₃⁻</x:v>
      </x:c>
      <x:c r="B49" s="40" t="str">
        <x:v>Southern</x:v>
      </x:c>
      <x:c r="C49" s="40" t="str">
        <x:v>Post-monsoon</x:v>
      </x:c>
      <x:c r="D49" s="40" t="n">
        <x:v>42</x:v>
      </x:c>
      <x:c r="E49" s="40" t="n">
        <x:v>6</x:v>
      </x:c>
      <x:c r="F49" s="108" t="n">
        <x:v>0.163</x:v>
      </x:c>
      <x:c r="G49" s="108" t="n">
        <x:v>0.119</x:v>
      </x:c>
      <x:c r="H49" s="108" t="n">
        <x:v>0.0448</x:v>
      </x:c>
      <x:c r="I49" s="40" t="str">
        <x:v>+0.0164 to +0.0749</x:v>
      </x:c>
      <x:c r="J49" s="108" t="n">
        <x:v>0.02</x:v>
      </x:c>
      <x:c r="K49" s="108" t="n">
        <x:v>0.8</x:v>
      </x:c>
      <x:c r="L49" s="40" t="str">
        <x:v>Yes</x:v>
      </x:c>
      <x:c r="M49" s="40" t="str">
        <x:v>Higher</x:v>
      </x:c>
    </x:row>
    <x:row r="50" ht="15" hidden="0" customHeight="1">
      <x:c r="A50" s="40" t="str">
        <x:v>PO₄³⁻</x:v>
      </x:c>
      <x:c r="B50" s="40" t="str">
        <x:v>Southern</x:v>
      </x:c>
      <x:c r="C50" s="40" t="str">
        <x:v>Post-monsoon</x:v>
      </x:c>
      <x:c r="D50" s="40" t="n">
        <x:v>42</x:v>
      </x:c>
      <x:c r="E50" s="40" t="n">
        <x:v>6</x:v>
      </x:c>
      <x:c r="F50" s="108" t="n">
        <x:v>0.0249</x:v>
      </x:c>
      <x:c r="G50" s="108" t="n">
        <x:v>0.0313</x:v>
      </x:c>
      <x:c r="H50" s="108" t="n">
        <x:v>-0.0064</x:v>
      </x:c>
      <x:c r="I50" s="40" t="str">
        <x:v>−0.0106 to −0.0023</x:v>
      </x:c>
      <x:c r="J50" s="108" t="n">
        <x:v>0.02</x:v>
      </x:c>
      <x:c r="K50" s="108" t="n">
        <x:v>-0.78</x:v>
      </x:c>
      <x:c r="L50" s="40" t="str">
        <x:v>Yes</x:v>
      </x:c>
      <x:c r="M50" s="40" t="str">
        <x:v>Lower</x:v>
      </x:c>
    </x:row>
    <x:row r="51" ht="15" hidden="0" customHeight="1">
      <x:c r="A51" s="40" t="str">
        <x:v>Si</x:v>
      </x:c>
      <x:c r="B51" s="40" t="str">
        <x:v>Southern</x:v>
      </x:c>
      <x:c r="C51" s="40" t="str">
        <x:v>Post-monsoon</x:v>
      </x:c>
      <x:c r="D51" s="40" t="n">
        <x:v>42</x:v>
      </x:c>
      <x:c r="E51" s="40" t="n">
        <x:v>6</x:v>
      </x:c>
      <x:c r="F51" s="108" t="n">
        <x:v>4.581</x:v>
      </x:c>
      <x:c r="G51" s="108" t="n">
        <x:v>4.251</x:v>
      </x:c>
      <x:c r="H51" s="108" t="n">
        <x:v>0.33</x:v>
      </x:c>
      <x:c r="I51" s="40" t="str">
        <x:v>−0.01 to +0.64</x:v>
      </x:c>
      <x:c r="J51" s="108" t="n">
        <x:v>0.093</x:v>
      </x:c>
      <x:c r="K51" s="108" t="n">
        <x:v>0.5</x:v>
      </x:c>
      <x:c r="L51" s="40" t="str">
        <x:v>No</x:v>
      </x:c>
      <x:c r="M51" s="40" t="str">
        <x:v>Higher</x:v>
      </x:c>
    </x:row>
    <x:row r="52" ht="15" hidden="0" customHeight="1">
      <x:c r="A52" s="40" t="str">
        <x:v>DO</x:v>
      </x:c>
      <x:c r="B52" s="40" t="str">
        <x:v>Southern</x:v>
      </x:c>
      <x:c r="C52" s="40" t="str">
        <x:v>Post-monsoon</x:v>
      </x:c>
      <x:c r="D52" s="40" t="n">
        <x:v>42</x:v>
      </x:c>
      <x:c r="E52" s="40" t="n">
        <x:v>6</x:v>
      </x:c>
      <x:c r="F52" s="108" t="n">
        <x:v>201.759</x:v>
      </x:c>
      <x:c r="G52" s="108" t="n">
        <x:v>201.629</x:v>
      </x:c>
      <x:c r="H52" s="108" t="n">
        <x:v>0.13</x:v>
      </x:c>
      <x:c r="I52" s="40" t="str">
        <x:v>−0.40 to +0.66</x:v>
      </x:c>
      <x:c r="J52" s="108" t="n">
        <x:v>0.672</x:v>
      </x:c>
      <x:c r="K52" s="108" t="n">
        <x:v>0.2</x:v>
      </x:c>
      <x:c r="L52" s="40" t="str">
        <x:v>No</x:v>
      </x:c>
      <x:c r="M52" s="40" t="str">
        <x:v>Higher</x:v>
      </x:c>
    </x:row>
  </x:sheetData>
  <x:mergeCells>
    <x:mergeCell ref="A1:M1"/>
    <x:mergeCell ref="A2:M2"/>
  </x:mergeCells>
  <x:conditionalFormatting sqref="L5:L52">
    <x:cfRule type="expression" dxfId="0" priority="1">
      <x:formula>L5="Yes"</x:formula>
    </x:cfRule>
    <x:cfRule type="expression" dxfId="1" priority="2">
      <x:formula>L5="No"</x:formula>
    </x:cfRule>
  </x:conditionalFormatting>
  <x:conditionalFormatting sqref="H5:H52">
    <x:cfRule type="expression" dxfId="2" priority="3">
      <x:formula>H5&lt;0</x:formula>
    </x:cfRule>
    <x:cfRule type="expression" dxfId="3" priority="4">
      <x:formula>H5&gt;0</x:formula>
    </x:cfRule>
  </x:conditionalFormatting>
  <x:pageMargins left="0.7" right="0.7" top="0.75" bottom="0.75" header="0.3" footer="0.3"/>
  <x:drawing xmlns:r="http://schemas.openxmlformats.org/officeDocument/2006/relationships" r:id="Rc280bc6b7d704af9"/>
  <x:tableParts count="1">
    <x:tablePart xmlns:r="http://schemas.openxmlformats.org/officeDocument/2006/relationships" r:id="Ra5fabfe87acc472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0" hidden="0" customWidth="1"/>
    <x:col min="5" max="5" width="8" hidden="0" customWidth="1"/>
    <x:col min="6" max="6" width="10" hidden="0" customWidth="1"/>
    <x:col min="7" max="7" width="10" hidden="0" customWidth="1"/>
    <x:col min="8" max="8" width="10" hidden="0" customWidth="1"/>
    <x:col min="9" max="9" width="8" hidden="0" customWidth="1"/>
    <x:col min="10" max="10" width="8" hidden="0" customWidth="1"/>
    <x:col min="11" max="11" width="12" hidden="0" customWidth="1"/>
    <x:col min="12" max="12" width="10" hidden="0" customWidth="1"/>
  </x:cols>
  <x:sheetData>
    <x:row r="1" ht="26" customHeight="1">
      <x:c r="A1" s="18" t="str">
        <x:v>Supplementary Table S5 | Seasonal teleconnection summary and climate-phase contrasts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 ht="38" customHeight="1">
      <x:c r="A2" s="24" t="str">
        <x:v>Seasonal zero-lag correlations between sub-basin MHW metrics and ONI or DMI. q(FDR) is Benjamini–Hochberg adjusted p across the full test family. Phase d is positive-phase minus negative-phase composite difference.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4" ht="15" hidden="0" customHeight="1">
      <x:c r="A4" s="78" t="str">
        <x:v>Sub-basin</x:v>
      </x:c>
      <x:c r="B4" s="78" t="str">
        <x:v>Season</x:v>
      </x:c>
      <x:c r="C4" s="78" t="str">
        <x:v>Metric</x:v>
      </x:c>
      <x:c r="D4" s="78" t="str">
        <x:v>Index</x:v>
      </x:c>
      <x:c r="E4" s="78" t="str">
        <x:v>n</x:v>
      </x:c>
      <x:c r="F4" s="78" t="str">
        <x:v>r</x:v>
      </x:c>
      <x:c r="G4" s="78" t="str">
        <x:v>p</x:v>
      </x:c>
      <x:c r="H4" s="78" t="str">
        <x:v>q(FDR)</x:v>
      </x:c>
      <x:c r="I4" s="78" t="str">
        <x:v>n+</x:v>
      </x:c>
      <x:c r="J4" s="78" t="str">
        <x:v>n−</x:v>
      </x:c>
      <x:c r="K4" s="78" t="str">
        <x:v>Phase d</x:v>
      </x:c>
      <x:c r="L4" s="78" t="str">
        <x:v>Phase p</x:v>
      </x:c>
    </x:row>
    <x:row r="5" ht="15" hidden="0" customHeight="1">
      <x:c r="A5" s="40" t="str">
        <x:v>Central</x:v>
      </x:c>
      <x:c r="B5" s="40" t="str">
        <x:v>Pre-monsoon</x:v>
      </x:c>
      <x:c r="C5" s="40" t="str">
        <x:v>Exposure</x:v>
      </x:c>
      <x:c r="D5" s="40" t="str">
        <x:v>ONI</x:v>
      </x:c>
      <x:c r="E5" s="40" t="n">
        <x:v>31</x:v>
      </x:c>
      <x:c r="F5" s="108" t="n">
        <x:v>0.273</x:v>
      </x:c>
      <x:c r="G5" s="108" t="n">
        <x:v>0.137</x:v>
      </x:c>
      <x:c r="H5" s="108" t="n">
        <x:v>0.384</x:v>
      </x:c>
      <x:c r="I5" s="40" t="n">
        <x:v>5</x:v>
      </x:c>
      <x:c r="J5" s="40" t="n">
        <x:v>6</x:v>
      </x:c>
      <x:c r="K5" s="108" t="n">
        <x:v>14.4</x:v>
      </x:c>
      <x:c r="L5" s="108" t="n">
        <x:v>0.529</x:v>
      </x:c>
    </x:row>
    <x:row r="6" ht="15" hidden="0" customHeight="1">
      <x:c r="A6" s="40" t="str">
        <x:v>Central</x:v>
      </x:c>
      <x:c r="B6" s="40" t="str">
        <x:v>Pre-monsoon</x:v>
      </x:c>
      <x:c r="C6" s="40" t="str">
        <x:v>Exposure</x:v>
      </x:c>
      <x:c r="D6" s="40" t="str">
        <x:v>DMI</x:v>
      </x:c>
      <x:c r="E6" s="40" t="n">
        <x:v>31</x:v>
      </x:c>
      <x:c r="F6" s="108" t="n">
        <x:v>0.47</x:v>
      </x:c>
      <x:c r="G6" s="108" t="n">
        <x:v>0.008</x:v>
      </x:c>
      <x:c r="H6" s="108" t="n">
        <x:v>0.207</x:v>
      </x:c>
      <x:c r="I6" s="40" t="n">
        <x:v>2</x:v>
      </x:c>
      <x:c r="J6" s="40" t="n">
        <x:v>1</x:v>
      </x:c>
      <x:c r="K6" s="108" t="str">
        <x:v>—</x:v>
      </x:c>
      <x:c r="L6" s="108" t="str">
        <x:v>—</x:v>
      </x:c>
    </x:row>
    <x:row r="7" ht="15" hidden="0" customHeight="1">
      <x:c r="A7" s="40" t="str">
        <x:v>Central</x:v>
      </x:c>
      <x:c r="B7" s="40" t="str">
        <x:v>Pre-monsoon</x:v>
      </x:c>
      <x:c r="C7" s="40" t="str">
        <x:v>Intensity</x:v>
      </x:c>
      <x:c r="D7" s="40" t="str">
        <x:v>ONI</x:v>
      </x:c>
      <x:c r="E7" s="40" t="n">
        <x:v>31</x:v>
      </x:c>
      <x:c r="F7" s="108" t="n">
        <x:v>0.123</x:v>
      </x:c>
      <x:c r="G7" s="108" t="n">
        <x:v>0.509</x:v>
      </x:c>
      <x:c r="H7" s="108" t="n">
        <x:v>0.643</x:v>
      </x:c>
      <x:c r="I7" s="40" t="n">
        <x:v>5</x:v>
      </x:c>
      <x:c r="J7" s="40" t="n">
        <x:v>6</x:v>
      </x:c>
      <x:c r="K7" s="108" t="n">
        <x:v>-0.022</x:v>
      </x:c>
      <x:c r="L7" s="108" t="n">
        <x:v>0.647</x:v>
      </x:c>
    </x:row>
    <x:row r="8" ht="15" hidden="0" customHeight="1">
      <x:c r="A8" s="40" t="str">
        <x:v>Central</x:v>
      </x:c>
      <x:c r="B8" s="40" t="str">
        <x:v>Pre-monsoon</x:v>
      </x:c>
      <x:c r="C8" s="40" t="str">
        <x:v>Intensity</x:v>
      </x:c>
      <x:c r="D8" s="40" t="str">
        <x:v>DMI</x:v>
      </x:c>
      <x:c r="E8" s="40" t="n">
        <x:v>31</x:v>
      </x:c>
      <x:c r="F8" s="108" t="n">
        <x:v>0.107</x:v>
      </x:c>
      <x:c r="G8" s="108" t="n">
        <x:v>0.568</x:v>
      </x:c>
      <x:c r="H8" s="108" t="n">
        <x:v>0.699</x:v>
      </x:c>
      <x:c r="I8" s="40" t="n">
        <x:v>2</x:v>
      </x:c>
      <x:c r="J8" s="40" t="n">
        <x:v>1</x:v>
      </x:c>
      <x:c r="K8" s="108" t="str">
        <x:v>—</x:v>
      </x:c>
      <x:c r="L8" s="108" t="str">
        <x:v>—</x:v>
      </x:c>
    </x:row>
    <x:row r="9" ht="15" hidden="0" customHeight="1">
      <x:c r="A9" s="40" t="str">
        <x:v>Central</x:v>
      </x:c>
      <x:c r="B9" s="40" t="str">
        <x:v>Monsoon</x:v>
      </x:c>
      <x:c r="C9" s="40" t="str">
        <x:v>Exposure</x:v>
      </x:c>
      <x:c r="D9" s="40" t="str">
        <x:v>ONI</x:v>
      </x:c>
      <x:c r="E9" s="40" t="n">
        <x:v>31</x:v>
      </x:c>
      <x:c r="F9" s="108" t="n">
        <x:v>-0.294</x:v>
      </x:c>
      <x:c r="G9" s="108" t="n">
        <x:v>0.109</x:v>
      </x:c>
      <x:c r="H9" s="108" t="n">
        <x:v>0.384</x:v>
      </x:c>
      <x:c r="I9" s="40" t="n">
        <x:v>5</x:v>
      </x:c>
      <x:c r="J9" s="40" t="n">
        <x:v>6</x:v>
      </x:c>
      <x:c r="K9" s="108" t="n">
        <x:v>-29.53</x:v>
      </x:c>
      <x:c r="L9" s="108" t="n">
        <x:v>0.279</x:v>
      </x:c>
    </x:row>
    <x:row r="10" ht="15" hidden="0" customHeight="1">
      <x:c r="A10" s="40" t="str">
        <x:v>Central</x:v>
      </x:c>
      <x:c r="B10" s="40" t="str">
        <x:v>Monsoon</x:v>
      </x:c>
      <x:c r="C10" s="40" t="str">
        <x:v>Exposure</x:v>
      </x:c>
      <x:c r="D10" s="40" t="str">
        <x:v>DMI</x:v>
      </x:c>
      <x:c r="E10" s="40" t="n">
        <x:v>31</x:v>
      </x:c>
      <x:c r="F10" s="108" t="n">
        <x:v>-0.063</x:v>
      </x:c>
      <x:c r="G10" s="108" t="n">
        <x:v>0.737</x:v>
      </x:c>
      <x:c r="H10" s="108" t="n">
        <x:v>0.816</x:v>
      </x:c>
      <x:c r="I10" s="40" t="n">
        <x:v>4</x:v>
      </x:c>
      <x:c r="J10" s="40" t="n">
        <x:v>4</x:v>
      </x:c>
      <x:c r="K10" s="108" t="n">
        <x:v>-45</x:v>
      </x:c>
      <x:c r="L10" s="108" t="n">
        <x:v>0.352</x:v>
      </x:c>
    </x:row>
    <x:row r="11" ht="15" hidden="0" customHeight="1">
      <x:c r="A11" s="40" t="str">
        <x:v>Central</x:v>
      </x:c>
      <x:c r="B11" s="40" t="str">
        <x:v>Monsoon</x:v>
      </x:c>
      <x:c r="C11" s="40" t="str">
        <x:v>Intensity</x:v>
      </x:c>
      <x:c r="D11" s="40" t="str">
        <x:v>ONI</x:v>
      </x:c>
      <x:c r="E11" s="40" t="n">
        <x:v>31</x:v>
      </x:c>
      <x:c r="F11" s="108" t="n">
        <x:v>-0.307</x:v>
      </x:c>
      <x:c r="G11" s="108" t="n">
        <x:v>0.093</x:v>
      </x:c>
      <x:c r="H11" s="108" t="n">
        <x:v>0.384</x:v>
      </x:c>
      <x:c r="I11" s="40" t="n">
        <x:v>5</x:v>
      </x:c>
      <x:c r="J11" s="40" t="n">
        <x:v>6</x:v>
      </x:c>
      <x:c r="K11" s="108" t="n">
        <x:v>-0.02</x:v>
      </x:c>
      <x:c r="L11" s="108" t="n">
        <x:v>0.683</x:v>
      </x:c>
    </x:row>
    <x:row r="12" ht="15" hidden="0" customHeight="1">
      <x:c r="A12" s="40" t="str">
        <x:v>Central</x:v>
      </x:c>
      <x:c r="B12" s="40" t="str">
        <x:v>Monsoon</x:v>
      </x:c>
      <x:c r="C12" s="40" t="str">
        <x:v>Intensity</x:v>
      </x:c>
      <x:c r="D12" s="40" t="str">
        <x:v>DMI</x:v>
      </x:c>
      <x:c r="E12" s="40" t="n">
        <x:v>31</x:v>
      </x:c>
      <x:c r="F12" s="108" t="n">
        <x:v>-0.256</x:v>
      </x:c>
      <x:c r="G12" s="108" t="n">
        <x:v>0.164</x:v>
      </x:c>
      <x:c r="H12" s="108" t="n">
        <x:v>0.384</x:v>
      </x:c>
      <x:c r="I12" s="40" t="n">
        <x:v>4</x:v>
      </x:c>
      <x:c r="J12" s="40" t="n">
        <x:v>4</x:v>
      </x:c>
      <x:c r="K12" s="108" t="n">
        <x:v>-0.055</x:v>
      </x:c>
      <x:c r="L12" s="108" t="n">
        <x:v>0.08</x:v>
      </x:c>
    </x:row>
    <x:row r="13" ht="15" hidden="0" customHeight="1">
      <x:c r="A13" s="40" t="str">
        <x:v>Central</x:v>
      </x:c>
      <x:c r="B13" s="40" t="str">
        <x:v>Post-monsoon</x:v>
      </x:c>
      <x:c r="C13" s="40" t="str">
        <x:v>Exposure</x:v>
      </x:c>
      <x:c r="D13" s="40" t="str">
        <x:v>ONI</x:v>
      </x:c>
      <x:c r="E13" s="40" t="n">
        <x:v>31</x:v>
      </x:c>
      <x:c r="F13" s="108" t="n">
        <x:v>0.092</x:v>
      </x:c>
      <x:c r="G13" s="108" t="n">
        <x:v>0.622</x:v>
      </x:c>
      <x:c r="H13" s="108" t="n">
        <x:v>0.729</x:v>
      </x:c>
      <x:c r="I13" s="40" t="n">
        <x:v>10</x:v>
      </x:c>
      <x:c r="J13" s="40" t="n">
        <x:v>13</x:v>
      </x:c>
      <x:c r="K13" s="108" t="n">
        <x:v>4.17</x:v>
      </x:c>
      <x:c r="L13" s="108" t="n">
        <x:v>0.738</x:v>
      </x:c>
    </x:row>
    <x:row r="14" ht="15" hidden="0" customHeight="1">
      <x:c r="A14" s="40" t="str">
        <x:v>Central</x:v>
      </x:c>
      <x:c r="B14" s="40" t="str">
        <x:v>Post-monsoon</x:v>
      </x:c>
      <x:c r="C14" s="40" t="str">
        <x:v>Exposure</x:v>
      </x:c>
      <x:c r="D14" s="40" t="str">
        <x:v>DMI</x:v>
      </x:c>
      <x:c r="E14" s="40" t="n">
        <x:v>31</x:v>
      </x:c>
      <x:c r="F14" s="108" t="n">
        <x:v>0.037</x:v>
      </x:c>
      <x:c r="G14" s="108" t="n">
        <x:v>0.842</x:v>
      </x:c>
      <x:c r="H14" s="108" t="n">
        <x:v>0.879</x:v>
      </x:c>
      <x:c r="I14" s="40" t="n">
        <x:v>6</x:v>
      </x:c>
      <x:c r="J14" s="40" t="n">
        <x:v>6</x:v>
      </x:c>
      <x:c r="K14" s="108" t="n">
        <x:v>11</x:v>
      </x:c>
      <x:c r="L14" s="108" t="n">
        <x:v>0.601</x:v>
      </x:c>
    </x:row>
    <x:row r="15" ht="15" hidden="0" customHeight="1">
      <x:c r="A15" s="40" t="str">
        <x:v>Central</x:v>
      </x:c>
      <x:c r="B15" s="40" t="str">
        <x:v>Post-monsoon</x:v>
      </x:c>
      <x:c r="C15" s="40" t="str">
        <x:v>Intensity</x:v>
      </x:c>
      <x:c r="D15" s="40" t="str">
        <x:v>ONI</x:v>
      </x:c>
      <x:c r="E15" s="40" t="n">
        <x:v>31</x:v>
      </x:c>
      <x:c r="F15" s="108" t="n">
        <x:v>-0.148</x:v>
      </x:c>
      <x:c r="G15" s="108" t="n">
        <x:v>0.427</x:v>
      </x:c>
      <x:c r="H15" s="108" t="n">
        <x:v>0.586</x:v>
      </x:c>
      <x:c r="I15" s="40" t="n">
        <x:v>10</x:v>
      </x:c>
      <x:c r="J15" s="40" t="n">
        <x:v>13</x:v>
      </x:c>
      <x:c r="K15" s="108" t="n">
        <x:v>-0.083</x:v>
      </x:c>
      <x:c r="L15" s="108" t="n">
        <x:v>0.286</x:v>
      </x:c>
    </x:row>
    <x:row r="16" ht="15" hidden="0" customHeight="1">
      <x:c r="A16" s="40" t="str">
        <x:v>Central</x:v>
      </x:c>
      <x:c r="B16" s="40" t="str">
        <x:v>Post-monsoon</x:v>
      </x:c>
      <x:c r="C16" s="40" t="str">
        <x:v>Intensity</x:v>
      </x:c>
      <x:c r="D16" s="40" t="str">
        <x:v>DMI</x:v>
      </x:c>
      <x:c r="E16" s="40" t="n">
        <x:v>31</x:v>
      </x:c>
      <x:c r="F16" s="108" t="n">
        <x:v>-0.258</x:v>
      </x:c>
      <x:c r="G16" s="108" t="n">
        <x:v>0.161</x:v>
      </x:c>
      <x:c r="H16" s="108" t="n">
        <x:v>0.384</x:v>
      </x:c>
      <x:c r="I16" s="40" t="n">
        <x:v>6</x:v>
      </x:c>
      <x:c r="J16" s="40" t="n">
        <x:v>6</x:v>
      </x:c>
      <x:c r="K16" s="108" t="n">
        <x:v>-0.19</x:v>
      </x:c>
      <x:c r="L16" s="108" t="n">
        <x:v>0.218</x:v>
      </x:c>
    </x:row>
    <x:row r="17" ht="15" hidden="0" customHeight="1">
      <x:c r="A17" s="40" t="str">
        <x:v>Central</x:v>
      </x:c>
      <x:c r="B17" s="40" t="str">
        <x:v>Winter</x:v>
      </x:c>
      <x:c r="C17" s="40" t="str">
        <x:v>Exposure</x:v>
      </x:c>
      <x:c r="D17" s="40" t="str">
        <x:v>ONI</x:v>
      </x:c>
      <x:c r="E17" s="40" t="n">
        <x:v>31</x:v>
      </x:c>
      <x:c r="F17" s="108" t="n">
        <x:v>0.197</x:v>
      </x:c>
      <x:c r="G17" s="108" t="n">
        <x:v>0.287</x:v>
      </x:c>
      <x:c r="H17" s="108" t="n">
        <x:v>0.498</x:v>
      </x:c>
      <x:c r="I17" s="40" t="n">
        <x:v>7</x:v>
      </x:c>
      <x:c r="J17" s="40" t="n">
        <x:v>10</x:v>
      </x:c>
      <x:c r="K17" s="108" t="n">
        <x:v>11.84</x:v>
      </x:c>
      <x:c r="L17" s="108" t="n">
        <x:v>0.398</x:v>
      </x:c>
    </x:row>
    <x:row r="18" ht="15" hidden="0" customHeight="1">
      <x:c r="A18" s="40" t="str">
        <x:v>Central</x:v>
      </x:c>
      <x:c r="B18" s="40" t="str">
        <x:v>Winter</x:v>
      </x:c>
      <x:c r="C18" s="40" t="str">
        <x:v>Exposure</x:v>
      </x:c>
      <x:c r="D18" s="40" t="str">
        <x:v>DMI</x:v>
      </x:c>
      <x:c r="E18" s="40" t="n">
        <x:v>31</x:v>
      </x:c>
      <x:c r="F18" s="108" t="n">
        <x:v>-0.027</x:v>
      </x:c>
      <x:c r="G18" s="108" t="n">
        <x:v>0.885</x:v>
      </x:c>
      <x:c r="H18" s="108" t="n">
        <x:v>0.903</x:v>
      </x:c>
      <x:c r="I18" s="40" t="n">
        <x:v>1</x:v>
      </x:c>
      <x:c r="J18" s="40" t="n">
        <x:v>0</x:v>
      </x:c>
      <x:c r="K18" s="108" t="str">
        <x:v>—</x:v>
      </x:c>
      <x:c r="L18" s="108" t="str">
        <x:v>—</x:v>
      </x:c>
    </x:row>
    <x:row r="19" ht="15" hidden="0" customHeight="1">
      <x:c r="A19" s="40" t="str">
        <x:v>Central</x:v>
      </x:c>
      <x:c r="B19" s="40" t="str">
        <x:v>Winter</x:v>
      </x:c>
      <x:c r="C19" s="40" t="str">
        <x:v>Intensity</x:v>
      </x:c>
      <x:c r="D19" s="40" t="str">
        <x:v>ONI</x:v>
      </x:c>
      <x:c r="E19" s="40" t="n">
        <x:v>31</x:v>
      </x:c>
      <x:c r="F19" s="108" t="n">
        <x:v>-0.277</x:v>
      </x:c>
      <x:c r="G19" s="108" t="n">
        <x:v>0.132</x:v>
      </x:c>
      <x:c r="H19" s="108" t="n">
        <x:v>0.384</x:v>
      </x:c>
      <x:c r="I19" s="40" t="n">
        <x:v>7</x:v>
      </x:c>
      <x:c r="J19" s="40" t="n">
        <x:v>10</x:v>
      </x:c>
      <x:c r="K19" s="108" t="n">
        <x:v>-0.094</x:v>
      </x:c>
      <x:c r="L19" s="108" t="n">
        <x:v>0.273</x:v>
      </x:c>
    </x:row>
    <x:row r="20" ht="15" hidden="0" customHeight="1">
      <x:c r="A20" s="40" t="str">
        <x:v>Central</x:v>
      </x:c>
      <x:c r="B20" s="40" t="str">
        <x:v>Winter</x:v>
      </x:c>
      <x:c r="C20" s="40" t="str">
        <x:v>Intensity</x:v>
      </x:c>
      <x:c r="D20" s="40" t="str">
        <x:v>DMI</x:v>
      </x:c>
      <x:c r="E20" s="40" t="n">
        <x:v>31</x:v>
      </x:c>
      <x:c r="F20" s="108" t="n">
        <x:v>-0.253</x:v>
      </x:c>
      <x:c r="G20" s="108" t="n">
        <x:v>0.169</x:v>
      </x:c>
      <x:c r="H20" s="108" t="n">
        <x:v>0.384</x:v>
      </x:c>
      <x:c r="I20" s="40" t="n">
        <x:v>1</x:v>
      </x:c>
      <x:c r="J20" s="40" t="n">
        <x:v>0</x:v>
      </x:c>
      <x:c r="K20" s="108" t="str">
        <x:v>—</x:v>
      </x:c>
      <x:c r="L20" s="108" t="str">
        <x:v>—</x:v>
      </x:c>
    </x:row>
    <x:row r="21" ht="15" hidden="0" customHeight="1">
      <x:c r="A21" s="40" t="str">
        <x:v>Northern</x:v>
      </x:c>
      <x:c r="B21" s="40" t="str">
        <x:v>Pre-monsoon</x:v>
      </x:c>
      <x:c r="C21" s="40" t="str">
        <x:v>Exposure</x:v>
      </x:c>
      <x:c r="D21" s="40" t="str">
        <x:v>ONI</x:v>
      </x:c>
      <x:c r="E21" s="40" t="n">
        <x:v>31</x:v>
      </x:c>
      <x:c r="F21" s="108" t="n">
        <x:v>0.243</x:v>
      </x:c>
      <x:c r="G21" s="108" t="n">
        <x:v>0.187</x:v>
      </x:c>
      <x:c r="H21" s="108" t="n">
        <x:v>0.391</x:v>
      </x:c>
      <x:c r="I21" s="40" t="n">
        <x:v>5</x:v>
      </x:c>
      <x:c r="J21" s="40" t="n">
        <x:v>6</x:v>
      </x:c>
      <x:c r="K21" s="108" t="n">
        <x:v>16.47</x:v>
      </x:c>
      <x:c r="L21" s="108" t="n">
        <x:v>0.534</x:v>
      </x:c>
    </x:row>
    <x:row r="22" ht="15" hidden="0" customHeight="1">
      <x:c r="A22" s="40" t="str">
        <x:v>Northern</x:v>
      </x:c>
      <x:c r="B22" s="40" t="str">
        <x:v>Pre-monsoon</x:v>
      </x:c>
      <x:c r="C22" s="40" t="str">
        <x:v>Exposure</x:v>
      </x:c>
      <x:c r="D22" s="40" t="str">
        <x:v>DMI</x:v>
      </x:c>
      <x:c r="E22" s="40" t="n">
        <x:v>31</x:v>
      </x:c>
      <x:c r="F22" s="108" t="n">
        <x:v>0.449</x:v>
      </x:c>
      <x:c r="G22" s="108" t="n">
        <x:v>0.011</x:v>
      </x:c>
      <x:c r="H22" s="108" t="n">
        <x:v>0.207</x:v>
      </x:c>
      <x:c r="I22" s="40" t="n">
        <x:v>2</x:v>
      </x:c>
      <x:c r="J22" s="40" t="n">
        <x:v>1</x:v>
      </x:c>
      <x:c r="K22" s="108" t="str">
        <x:v>—</x:v>
      </x:c>
      <x:c r="L22" s="108" t="str">
        <x:v>—</x:v>
      </x:c>
    </x:row>
    <x:row r="23" ht="15" hidden="0" customHeight="1">
      <x:c r="A23" s="40" t="str">
        <x:v>Northern</x:v>
      </x:c>
      <x:c r="B23" s="40" t="str">
        <x:v>Pre-monsoon</x:v>
      </x:c>
      <x:c r="C23" s="40" t="str">
        <x:v>Intensity</x:v>
      </x:c>
      <x:c r="D23" s="40" t="str">
        <x:v>ONI</x:v>
      </x:c>
      <x:c r="E23" s="40" t="n">
        <x:v>31</x:v>
      </x:c>
      <x:c r="F23" s="108" t="n">
        <x:v>0.205</x:v>
      </x:c>
      <x:c r="G23" s="108" t="n">
        <x:v>0.268</x:v>
      </x:c>
      <x:c r="H23" s="108" t="n">
        <x:v>0.495</x:v>
      </x:c>
      <x:c r="I23" s="40" t="n">
        <x:v>5</x:v>
      </x:c>
      <x:c r="J23" s="40" t="n">
        <x:v>6</x:v>
      </x:c>
      <x:c r="K23" s="108" t="n">
        <x:v>0.05</x:v>
      </x:c>
      <x:c r="L23" s="108" t="n">
        <x:v>0.433</x:v>
      </x:c>
    </x:row>
    <x:row r="24" ht="15" hidden="0" customHeight="1">
      <x:c r="A24" s="40" t="str">
        <x:v>Northern</x:v>
      </x:c>
      <x:c r="B24" s="40" t="str">
        <x:v>Pre-monsoon</x:v>
      </x:c>
      <x:c r="C24" s="40" t="str">
        <x:v>Intensity</x:v>
      </x:c>
      <x:c r="D24" s="40" t="str">
        <x:v>DMI</x:v>
      </x:c>
      <x:c r="E24" s="40" t="n">
        <x:v>31</x:v>
      </x:c>
      <x:c r="F24" s="108" t="n">
        <x:v>0.341</x:v>
      </x:c>
      <x:c r="G24" s="108" t="n">
        <x:v>0.06</x:v>
      </x:c>
      <x:c r="H24" s="108" t="n">
        <x:v>0.361</x:v>
      </x:c>
      <x:c r="I24" s="40" t="n">
        <x:v>2</x:v>
      </x:c>
      <x:c r="J24" s="40" t="n">
        <x:v>1</x:v>
      </x:c>
      <x:c r="K24" s="108" t="str">
        <x:v>—</x:v>
      </x:c>
      <x:c r="L24" s="108" t="str">
        <x:v>—</x:v>
      </x:c>
    </x:row>
    <x:row r="25" ht="15" hidden="0" customHeight="1">
      <x:c r="A25" s="40" t="str">
        <x:v>Northern</x:v>
      </x:c>
      <x:c r="B25" s="40" t="str">
        <x:v>Monsoon</x:v>
      </x:c>
      <x:c r="C25" s="40" t="str">
        <x:v>Exposure</x:v>
      </x:c>
      <x:c r="D25" s="40" t="str">
        <x:v>ONI</x:v>
      </x:c>
      <x:c r="E25" s="40" t="n">
        <x:v>31</x:v>
      </x:c>
      <x:c r="F25" s="108" t="n">
        <x:v>-0.095</x:v>
      </x:c>
      <x:c r="G25" s="108" t="n">
        <x:v>0.613</x:v>
      </x:c>
      <x:c r="H25" s="108" t="n">
        <x:v>0.729</x:v>
      </x:c>
      <x:c r="I25" s="40" t="n">
        <x:v>5</x:v>
      </x:c>
      <x:c r="J25" s="40" t="n">
        <x:v>6</x:v>
      </x:c>
      <x:c r="K25" s="108" t="n">
        <x:v>-2.63</x:v>
      </x:c>
      <x:c r="L25" s="108" t="n">
        <x:v>0.945</x:v>
      </x:c>
    </x:row>
    <x:row r="26" ht="15" hidden="0" customHeight="1">
      <x:c r="A26" s="40" t="str">
        <x:v>Northern</x:v>
      </x:c>
      <x:c r="B26" s="40" t="str">
        <x:v>Monsoon</x:v>
      </x:c>
      <x:c r="C26" s="40" t="str">
        <x:v>Exposure</x:v>
      </x:c>
      <x:c r="D26" s="40" t="str">
        <x:v>DMI</x:v>
      </x:c>
      <x:c r="E26" s="40" t="n">
        <x:v>31</x:v>
      </x:c>
      <x:c r="F26" s="108" t="n">
        <x:v>0.168</x:v>
      </x:c>
      <x:c r="G26" s="108" t="n">
        <x:v>0.367</x:v>
      </x:c>
      <x:c r="H26" s="108" t="n">
        <x:v>0.55</x:v>
      </x:c>
      <x:c r="I26" s="40" t="n">
        <x:v>4</x:v>
      </x:c>
      <x:c r="J26" s="40" t="n">
        <x:v>4</x:v>
      </x:c>
      <x:c r="K26" s="108" t="n">
        <x:v>2.75</x:v>
      </x:c>
      <x:c r="L26" s="108" t="n">
        <x:v>0.955</x:v>
      </x:c>
    </x:row>
    <x:row r="27" ht="15" hidden="0" customHeight="1">
      <x:c r="A27" s="40" t="str">
        <x:v>Northern</x:v>
      </x:c>
      <x:c r="B27" s="40" t="str">
        <x:v>Monsoon</x:v>
      </x:c>
      <x:c r="C27" s="40" t="str">
        <x:v>Intensity</x:v>
      </x:c>
      <x:c r="D27" s="40" t="str">
        <x:v>ONI</x:v>
      </x:c>
      <x:c r="E27" s="40" t="n">
        <x:v>31</x:v>
      </x:c>
      <x:c r="F27" s="108" t="n">
        <x:v>-0.25</x:v>
      </x:c>
      <x:c r="G27" s="108" t="n">
        <x:v>0.176</x:v>
      </x:c>
      <x:c r="H27" s="108" t="n">
        <x:v>0.384</x:v>
      </x:c>
      <x:c r="I27" s="40" t="n">
        <x:v>5</x:v>
      </x:c>
      <x:c r="J27" s="40" t="n">
        <x:v>6</x:v>
      </x:c>
      <x:c r="K27" s="108" t="n">
        <x:v>-0.091</x:v>
      </x:c>
      <x:c r="L27" s="108" t="n">
        <x:v>0.245</x:v>
      </x:c>
    </x:row>
    <x:row r="28" ht="15" hidden="0" customHeight="1">
      <x:c r="A28" s="40" t="str">
        <x:v>Northern</x:v>
      </x:c>
      <x:c r="B28" s="40" t="str">
        <x:v>Monsoon</x:v>
      </x:c>
      <x:c r="C28" s="40" t="str">
        <x:v>Intensity</x:v>
      </x:c>
      <x:c r="D28" s="40" t="str">
        <x:v>DMI</x:v>
      </x:c>
      <x:c r="E28" s="40" t="n">
        <x:v>31</x:v>
      </x:c>
      <x:c r="F28" s="108" t="n">
        <x:v>-0.285</x:v>
      </x:c>
      <x:c r="G28" s="108" t="n">
        <x:v>0.12</x:v>
      </x:c>
      <x:c r="H28" s="108" t="n">
        <x:v>0.384</x:v>
      </x:c>
      <x:c r="I28" s="40" t="n">
        <x:v>4</x:v>
      </x:c>
      <x:c r="J28" s="40" t="n">
        <x:v>4</x:v>
      </x:c>
      <x:c r="K28" s="108" t="n">
        <x:v>-0.086</x:v>
      </x:c>
      <x:c r="L28" s="108" t="n">
        <x:v>0.106</x:v>
      </x:c>
    </x:row>
    <x:row r="29" ht="15" hidden="0" customHeight="1">
      <x:c r="A29" s="40" t="str">
        <x:v>Northern</x:v>
      </x:c>
      <x:c r="B29" s="40" t="str">
        <x:v>Post-monsoon</x:v>
      </x:c>
      <x:c r="C29" s="40" t="str">
        <x:v>Exposure</x:v>
      </x:c>
      <x:c r="D29" s="40" t="str">
        <x:v>ONI</x:v>
      </x:c>
      <x:c r="E29" s="40" t="n">
        <x:v>31</x:v>
      </x:c>
      <x:c r="F29" s="108" t="n">
        <x:v>-0.271</x:v>
      </x:c>
      <x:c r="G29" s="108" t="n">
        <x:v>0.141</x:v>
      </x:c>
      <x:c r="H29" s="108" t="n">
        <x:v>0.384</x:v>
      </x:c>
      <x:c r="I29" s="40" t="n">
        <x:v>10</x:v>
      </x:c>
      <x:c r="J29" s="40" t="n">
        <x:v>13</x:v>
      </x:c>
      <x:c r="K29" s="108" t="n">
        <x:v>-17.12</x:v>
      </x:c>
      <x:c r="L29" s="108" t="n">
        <x:v>0.126</x:v>
      </x:c>
    </x:row>
    <x:row r="30" ht="15" hidden="0" customHeight="1">
      <x:c r="A30" s="40" t="str">
        <x:v>Northern</x:v>
      </x:c>
      <x:c r="B30" s="40" t="str">
        <x:v>Post-monsoon</x:v>
      </x:c>
      <x:c r="C30" s="40" t="str">
        <x:v>Exposure</x:v>
      </x:c>
      <x:c r="D30" s="40" t="str">
        <x:v>DMI</x:v>
      </x:c>
      <x:c r="E30" s="40" t="n">
        <x:v>31</x:v>
      </x:c>
      <x:c r="F30" s="108" t="n">
        <x:v>-0.301</x:v>
      </x:c>
      <x:c r="G30" s="108" t="n">
        <x:v>0.1</x:v>
      </x:c>
      <x:c r="H30" s="108" t="n">
        <x:v>0.384</x:v>
      </x:c>
      <x:c r="I30" s="40" t="n">
        <x:v>6</x:v>
      </x:c>
      <x:c r="J30" s="40" t="n">
        <x:v>6</x:v>
      </x:c>
      <x:c r="K30" s="108" t="n">
        <x:v>-24.17</x:v>
      </x:c>
      <x:c r="L30" s="108" t="n">
        <x:v>0.26</x:v>
      </x:c>
    </x:row>
    <x:row r="31" ht="15" hidden="0" customHeight="1">
      <x:c r="A31" s="40" t="str">
        <x:v>Northern</x:v>
      </x:c>
      <x:c r="B31" s="40" t="str">
        <x:v>Post-monsoon</x:v>
      </x:c>
      <x:c r="C31" s="40" t="str">
        <x:v>Intensity</x:v>
      </x:c>
      <x:c r="D31" s="40" t="str">
        <x:v>ONI</x:v>
      </x:c>
      <x:c r="E31" s="40" t="n">
        <x:v>31</x:v>
      </x:c>
      <x:c r="F31" s="108" t="n">
        <x:v>-0.156</x:v>
      </x:c>
      <x:c r="G31" s="108" t="n">
        <x:v>0.402</x:v>
      </x:c>
      <x:c r="H31" s="108" t="n">
        <x:v>0.584</x:v>
      </x:c>
      <x:c r="I31" s="40" t="n">
        <x:v>10</x:v>
      </x:c>
      <x:c r="J31" s="40" t="n">
        <x:v>13</x:v>
      </x:c>
      <x:c r="K31" s="108" t="n">
        <x:v>-0.074</x:v>
      </x:c>
      <x:c r="L31" s="108" t="n">
        <x:v>0.283</x:v>
      </x:c>
    </x:row>
    <x:row r="32" ht="15" hidden="0" customHeight="1">
      <x:c r="A32" s="40" t="str">
        <x:v>Northern</x:v>
      </x:c>
      <x:c r="B32" s="40" t="str">
        <x:v>Post-monsoon</x:v>
      </x:c>
      <x:c r="C32" s="40" t="str">
        <x:v>Intensity</x:v>
      </x:c>
      <x:c r="D32" s="40" t="str">
        <x:v>DMI</x:v>
      </x:c>
      <x:c r="E32" s="40" t="n">
        <x:v>31</x:v>
      </x:c>
      <x:c r="F32" s="108" t="n">
        <x:v>-0.192</x:v>
      </x:c>
      <x:c r="G32" s="108" t="n">
        <x:v>0.301</x:v>
      </x:c>
      <x:c r="H32" s="108" t="n">
        <x:v>0.498</x:v>
      </x:c>
      <x:c r="I32" s="40" t="n">
        <x:v>6</x:v>
      </x:c>
      <x:c r="J32" s="40" t="n">
        <x:v>6</x:v>
      </x:c>
      <x:c r="K32" s="108" t="n">
        <x:v>-0.151</x:v>
      </x:c>
      <x:c r="L32" s="108" t="n">
        <x:v>0.254</x:v>
      </x:c>
    </x:row>
    <x:row r="33" ht="15" hidden="0" customHeight="1">
      <x:c r="A33" s="40" t="str">
        <x:v>Northern</x:v>
      </x:c>
      <x:c r="B33" s="40" t="str">
        <x:v>Winter</x:v>
      </x:c>
      <x:c r="C33" s="40" t="str">
        <x:v>Exposure</x:v>
      </x:c>
      <x:c r="D33" s="40" t="str">
        <x:v>ONI</x:v>
      </x:c>
      <x:c r="E33" s="40" t="n">
        <x:v>30</x:v>
      </x:c>
      <x:c r="F33" s="108" t="n">
        <x:v>-0.314</x:v>
      </x:c>
      <x:c r="G33" s="108" t="n">
        <x:v>0.091</x:v>
      </x:c>
      <x:c r="H33" s="108" t="n">
        <x:v>0.384</x:v>
      </x:c>
      <x:c r="I33" s="40" t="n">
        <x:v>8</x:v>
      </x:c>
      <x:c r="J33" s="40" t="n">
        <x:v>8</x:v>
      </x:c>
      <x:c r="K33" s="108" t="n">
        <x:v>-14</x:v>
      </x:c>
      <x:c r="L33" s="108" t="n">
        <x:v>0.118</x:v>
      </x:c>
    </x:row>
    <x:row r="34" ht="15" hidden="0" customHeight="1">
      <x:c r="A34" s="40" t="str">
        <x:v>Northern</x:v>
      </x:c>
      <x:c r="B34" s="40" t="str">
        <x:v>Winter</x:v>
      </x:c>
      <x:c r="C34" s="40" t="str">
        <x:v>Exposure</x:v>
      </x:c>
      <x:c r="D34" s="40" t="str">
        <x:v>DMI</x:v>
      </x:c>
      <x:c r="E34" s="40" t="n">
        <x:v>30</x:v>
      </x:c>
      <x:c r="F34" s="108" t="n">
        <x:v>0.127</x:v>
      </x:c>
      <x:c r="G34" s="108" t="n">
        <x:v>0.502</x:v>
      </x:c>
      <x:c r="H34" s="108" t="n">
        <x:v>0.643</x:v>
      </x:c>
      <x:c r="I34" s="40" t="n">
        <x:v>2</x:v>
      </x:c>
      <x:c r="J34" s="40" t="n">
        <x:v>0</x:v>
      </x:c>
      <x:c r="K34" s="108" t="str">
        <x:v>—</x:v>
      </x:c>
      <x:c r="L34" s="108" t="str">
        <x:v>—</x:v>
      </x:c>
    </x:row>
    <x:row r="35" ht="15" hidden="0" customHeight="1">
      <x:c r="A35" s="40" t="str">
        <x:v>Northern</x:v>
      </x:c>
      <x:c r="B35" s="40" t="str">
        <x:v>Winter</x:v>
      </x:c>
      <x:c r="C35" s="40" t="str">
        <x:v>Intensity</x:v>
      </x:c>
      <x:c r="D35" s="40" t="str">
        <x:v>ONI</x:v>
      </x:c>
      <x:c r="E35" s="40" t="n">
        <x:v>30</x:v>
      </x:c>
      <x:c r="F35" s="108" t="n">
        <x:v>-0.448</x:v>
      </x:c>
      <x:c r="G35" s="108" t="n">
        <x:v>0.013</x:v>
      </x:c>
      <x:c r="H35" s="108" t="n">
        <x:v>0.207</x:v>
      </x:c>
      <x:c r="I35" s="40" t="n">
        <x:v>8</x:v>
      </x:c>
      <x:c r="J35" s="40" t="n">
        <x:v>8</x:v>
      </x:c>
      <x:c r="K35" s="108" t="n">
        <x:v>-0.432</x:v>
      </x:c>
      <x:c r="L35" s="108" t="n">
        <x:v>0.05</x:v>
      </x:c>
    </x:row>
    <x:row r="36" ht="15" hidden="0" customHeight="1">
      <x:c r="A36" s="40" t="str">
        <x:v>Northern</x:v>
      </x:c>
      <x:c r="B36" s="40" t="str">
        <x:v>Winter</x:v>
      </x:c>
      <x:c r="C36" s="40" t="str">
        <x:v>Intensity</x:v>
      </x:c>
      <x:c r="D36" s="40" t="str">
        <x:v>DMI</x:v>
      </x:c>
      <x:c r="E36" s="40" t="n">
        <x:v>30</x:v>
      </x:c>
      <x:c r="F36" s="108" t="n">
        <x:v>-0.171</x:v>
      </x:c>
      <x:c r="G36" s="108" t="n">
        <x:v>0.366</x:v>
      </x:c>
      <x:c r="H36" s="108" t="n">
        <x:v>0.55</x:v>
      </x:c>
      <x:c r="I36" s="40" t="n">
        <x:v>2</x:v>
      </x:c>
      <x:c r="J36" s="40" t="n">
        <x:v>0</x:v>
      </x:c>
      <x:c r="K36" s="108" t="str">
        <x:v>—</x:v>
      </x:c>
      <x:c r="L36" s="108" t="str">
        <x:v>—</x:v>
      </x:c>
    </x:row>
    <x:row r="37" ht="15" hidden="0" customHeight="1">
      <x:c r="A37" s="40" t="str">
        <x:v>Southern</x:v>
      </x:c>
      <x:c r="B37" s="40" t="str">
        <x:v>Pre-monsoon</x:v>
      </x:c>
      <x:c r="C37" s="40" t="str">
        <x:v>Exposure</x:v>
      </x:c>
      <x:c r="D37" s="40" t="str">
        <x:v>ONI</x:v>
      </x:c>
      <x:c r="E37" s="40" t="n">
        <x:v>31</x:v>
      </x:c>
      <x:c r="F37" s="108" t="n">
        <x:v>0.342</x:v>
      </x:c>
      <x:c r="G37" s="108" t="n">
        <x:v>0.06</x:v>
      </x:c>
      <x:c r="H37" s="108" t="n">
        <x:v>0.361</x:v>
      </x:c>
      <x:c r="I37" s="40" t="n">
        <x:v>5</x:v>
      </x:c>
      <x:c r="J37" s="40" t="n">
        <x:v>6</x:v>
      </x:c>
      <x:c r="K37" s="108" t="n">
        <x:v>29.17</x:v>
      </x:c>
      <x:c r="L37" s="108" t="n">
        <x:v>0.252</x:v>
      </x:c>
    </x:row>
    <x:row r="38" ht="15" hidden="0" customHeight="1">
      <x:c r="A38" s="40" t="str">
        <x:v>Southern</x:v>
      </x:c>
      <x:c r="B38" s="40" t="str">
        <x:v>Pre-monsoon</x:v>
      </x:c>
      <x:c r="C38" s="40" t="str">
        <x:v>Exposure</x:v>
      </x:c>
      <x:c r="D38" s="40" t="str">
        <x:v>DMI</x:v>
      </x:c>
      <x:c r="E38" s="40" t="n">
        <x:v>31</x:v>
      </x:c>
      <x:c r="F38" s="108" t="n">
        <x:v>0.314</x:v>
      </x:c>
      <x:c r="G38" s="108" t="n">
        <x:v>0.085</x:v>
      </x:c>
      <x:c r="H38" s="108" t="n">
        <x:v>0.384</x:v>
      </x:c>
      <x:c r="I38" s="40" t="n">
        <x:v>2</x:v>
      </x:c>
      <x:c r="J38" s="40" t="n">
        <x:v>1</x:v>
      </x:c>
      <x:c r="K38" s="108" t="str">
        <x:v>—</x:v>
      </x:c>
      <x:c r="L38" s="108" t="str">
        <x:v>—</x:v>
      </x:c>
    </x:row>
    <x:row r="39" ht="15" hidden="0" customHeight="1">
      <x:c r="A39" s="40" t="str">
        <x:v>Southern</x:v>
      </x:c>
      <x:c r="B39" s="40" t="str">
        <x:v>Pre-monsoon</x:v>
      </x:c>
      <x:c r="C39" s="40" t="str">
        <x:v>Intensity</x:v>
      </x:c>
      <x:c r="D39" s="40" t="str">
        <x:v>ONI</x:v>
      </x:c>
      <x:c r="E39" s="40" t="n">
        <x:v>31</x:v>
      </x:c>
      <x:c r="F39" s="108" t="n">
        <x:v>0.215</x:v>
      </x:c>
      <x:c r="G39" s="108" t="n">
        <x:v>0.245</x:v>
      </x:c>
      <x:c r="H39" s="108" t="n">
        <x:v>0.471</x:v>
      </x:c>
      <x:c r="I39" s="40" t="n">
        <x:v>5</x:v>
      </x:c>
      <x:c r="J39" s="40" t="n">
        <x:v>6</x:v>
      </x:c>
      <x:c r="K39" s="108" t="n">
        <x:v>0.108</x:v>
      </x:c>
      <x:c r="L39" s="108" t="n">
        <x:v>0.12</x:v>
      </x:c>
    </x:row>
    <x:row r="40" ht="15" hidden="0" customHeight="1">
      <x:c r="A40" s="40" t="str">
        <x:v>Southern</x:v>
      </x:c>
      <x:c r="B40" s="40" t="str">
        <x:v>Pre-monsoon</x:v>
      </x:c>
      <x:c r="C40" s="40" t="str">
        <x:v>Intensity</x:v>
      </x:c>
      <x:c r="D40" s="40" t="str">
        <x:v>DMI</x:v>
      </x:c>
      <x:c r="E40" s="40" t="n">
        <x:v>31</x:v>
      </x:c>
      <x:c r="F40" s="108" t="n">
        <x:v>-0.149</x:v>
      </x:c>
      <x:c r="G40" s="108" t="n">
        <x:v>0.425</x:v>
      </x:c>
      <x:c r="H40" s="108" t="n">
        <x:v>0.586</x:v>
      </x:c>
      <x:c r="I40" s="40" t="n">
        <x:v>2</x:v>
      </x:c>
      <x:c r="J40" s="40" t="n">
        <x:v>1</x:v>
      </x:c>
      <x:c r="K40" s="108" t="str">
        <x:v>—</x:v>
      </x:c>
      <x:c r="L40" s="108" t="str">
        <x:v>—</x:v>
      </x:c>
    </x:row>
    <x:row r="41" ht="15" hidden="0" customHeight="1">
      <x:c r="A41" s="40" t="str">
        <x:v>Southern</x:v>
      </x:c>
      <x:c r="B41" s="40" t="str">
        <x:v>Monsoon</x:v>
      </x:c>
      <x:c r="C41" s="40" t="str">
        <x:v>Exposure</x:v>
      </x:c>
      <x:c r="D41" s="40" t="str">
        <x:v>ONI</x:v>
      </x:c>
      <x:c r="E41" s="40" t="n">
        <x:v>31</x:v>
      </x:c>
      <x:c r="F41" s="108" t="n">
        <x:v>0.052</x:v>
      </x:c>
      <x:c r="G41" s="108" t="n">
        <x:v>0.783</x:v>
      </x:c>
      <x:c r="H41" s="108" t="n">
        <x:v>0.835</x:v>
      </x:c>
      <x:c r="I41" s="40" t="n">
        <x:v>5</x:v>
      </x:c>
      <x:c r="J41" s="40" t="n">
        <x:v>6</x:v>
      </x:c>
      <x:c r="K41" s="108" t="n">
        <x:v>18.7</x:v>
      </x:c>
      <x:c r="L41" s="108" t="n">
        <x:v>0.414</x:v>
      </x:c>
    </x:row>
    <x:row r="42" ht="15" hidden="0" customHeight="1">
      <x:c r="A42" s="40" t="str">
        <x:v>Southern</x:v>
      </x:c>
      <x:c r="B42" s="40" t="str">
        <x:v>Monsoon</x:v>
      </x:c>
      <x:c r="C42" s="40" t="str">
        <x:v>Exposure</x:v>
      </x:c>
      <x:c r="D42" s="40" t="str">
        <x:v>DMI</x:v>
      </x:c>
      <x:c r="E42" s="40" t="n">
        <x:v>31</x:v>
      </x:c>
      <x:c r="F42" s="108" t="n">
        <x:v>0.06</x:v>
      </x:c>
      <x:c r="G42" s="108" t="n">
        <x:v>0.748</x:v>
      </x:c>
      <x:c r="H42" s="108" t="n">
        <x:v>0.816</x:v>
      </x:c>
      <x:c r="I42" s="40" t="n">
        <x:v>4</x:v>
      </x:c>
      <x:c r="J42" s="40" t="n">
        <x:v>4</x:v>
      </x:c>
      <x:c r="K42" s="108" t="n">
        <x:v>-31</x:v>
      </x:c>
      <x:c r="L42" s="108" t="n">
        <x:v>0.464</x:v>
      </x:c>
    </x:row>
    <x:row r="43" ht="15" hidden="0" customHeight="1">
      <x:c r="A43" s="40" t="str">
        <x:v>Southern</x:v>
      </x:c>
      <x:c r="B43" s="40" t="str">
        <x:v>Monsoon</x:v>
      </x:c>
      <x:c r="C43" s="40" t="str">
        <x:v>Intensity</x:v>
      </x:c>
      <x:c r="D43" s="40" t="str">
        <x:v>ONI</x:v>
      </x:c>
      <x:c r="E43" s="40" t="n">
        <x:v>31</x:v>
      </x:c>
      <x:c r="F43" s="108" t="n">
        <x:v>-0.383</x:v>
      </x:c>
      <x:c r="G43" s="108" t="n">
        <x:v>0.034</x:v>
      </x:c>
      <x:c r="H43" s="108" t="n">
        <x:v>0.322</x:v>
      </x:c>
      <x:c r="I43" s="40" t="n">
        <x:v>5</x:v>
      </x:c>
      <x:c r="J43" s="40" t="n">
        <x:v>6</x:v>
      </x:c>
      <x:c r="K43" s="108" t="n">
        <x:v>-0.073</x:v>
      </x:c>
      <x:c r="L43" s="108" t="n">
        <x:v>0.108</x:v>
      </x:c>
    </x:row>
    <x:row r="44" ht="15" hidden="0" customHeight="1">
      <x:c r="A44" s="40" t="str">
        <x:v>Southern</x:v>
      </x:c>
      <x:c r="B44" s="40" t="str">
        <x:v>Monsoon</x:v>
      </x:c>
      <x:c r="C44" s="40" t="str">
        <x:v>Intensity</x:v>
      </x:c>
      <x:c r="D44" s="40" t="str">
        <x:v>DMI</x:v>
      </x:c>
      <x:c r="E44" s="40" t="n">
        <x:v>31</x:v>
      </x:c>
      <x:c r="F44" s="108" t="n">
        <x:v>-0.425</x:v>
      </x:c>
      <x:c r="G44" s="108" t="n">
        <x:v>0.017</x:v>
      </x:c>
      <x:c r="H44" s="108" t="n">
        <x:v>0.207</x:v>
      </x:c>
      <x:c r="I44" s="40" t="n">
        <x:v>4</x:v>
      </x:c>
      <x:c r="J44" s="40" t="n">
        <x:v>4</x:v>
      </x:c>
      <x:c r="K44" s="108" t="n">
        <x:v>-0.122</x:v>
      </x:c>
      <x:c r="L44" s="108" t="n">
        <x:v>0.143</x:v>
      </x:c>
    </x:row>
    <x:row r="45" ht="15" hidden="0" customHeight="1">
      <x:c r="A45" s="40" t="str">
        <x:v>Southern</x:v>
      </x:c>
      <x:c r="B45" s="40" t="str">
        <x:v>Post-monsoon</x:v>
      </x:c>
      <x:c r="C45" s="40" t="str">
        <x:v>Exposure</x:v>
      </x:c>
      <x:c r="D45" s="40" t="str">
        <x:v>ONI</x:v>
      </x:c>
      <x:c r="E45" s="40" t="n">
        <x:v>31</x:v>
      </x:c>
      <x:c r="F45" s="108" t="n">
        <x:v>0.196</x:v>
      </x:c>
      <x:c r="G45" s="108" t="n">
        <x:v>0.291</x:v>
      </x:c>
      <x:c r="H45" s="108" t="n">
        <x:v>0.498</x:v>
      </x:c>
      <x:c r="I45" s="40" t="n">
        <x:v>10</x:v>
      </x:c>
      <x:c r="J45" s="40" t="n">
        <x:v>13</x:v>
      </x:c>
      <x:c r="K45" s="108" t="n">
        <x:v>13.06</x:v>
      </x:c>
      <x:c r="L45" s="108" t="n">
        <x:v>0.33</x:v>
      </x:c>
    </x:row>
    <x:row r="46" ht="15" hidden="0" customHeight="1">
      <x:c r="A46" s="40" t="str">
        <x:v>Southern</x:v>
      </x:c>
      <x:c r="B46" s="40" t="str">
        <x:v>Post-monsoon</x:v>
      </x:c>
      <x:c r="C46" s="40" t="str">
        <x:v>Exposure</x:v>
      </x:c>
      <x:c r="D46" s="40" t="str">
        <x:v>DMI</x:v>
      </x:c>
      <x:c r="E46" s="40" t="n">
        <x:v>31</x:v>
      </x:c>
      <x:c r="F46" s="108" t="n">
        <x:v>0.138</x:v>
      </x:c>
      <x:c r="G46" s="108" t="n">
        <x:v>0.458</x:v>
      </x:c>
      <x:c r="H46" s="108" t="n">
        <x:v>0.611</x:v>
      </x:c>
      <x:c r="I46" s="40" t="n">
        <x:v>6</x:v>
      </x:c>
      <x:c r="J46" s="40" t="n">
        <x:v>6</x:v>
      </x:c>
      <x:c r="K46" s="108" t="n">
        <x:v>16</x:v>
      </x:c>
      <x:c r="L46" s="108" t="n">
        <x:v>0.451</x:v>
      </x:c>
    </x:row>
    <x:row r="47" ht="15" hidden="0" customHeight="1">
      <x:c r="A47" s="40" t="str">
        <x:v>Southern</x:v>
      </x:c>
      <x:c r="B47" s="40" t="str">
        <x:v>Post-monsoon</x:v>
      </x:c>
      <x:c r="C47" s="40" t="str">
        <x:v>Intensity</x:v>
      </x:c>
      <x:c r="D47" s="40" t="str">
        <x:v>ONI</x:v>
      </x:c>
      <x:c r="E47" s="40" t="n">
        <x:v>31</x:v>
      </x:c>
      <x:c r="F47" s="108" t="n">
        <x:v>0.067</x:v>
      </x:c>
      <x:c r="G47" s="108" t="n">
        <x:v>0.718</x:v>
      </x:c>
      <x:c r="H47" s="108" t="n">
        <x:v>0.816</x:v>
      </x:c>
      <x:c r="I47" s="40" t="n">
        <x:v>10</x:v>
      </x:c>
      <x:c r="J47" s="40" t="n">
        <x:v>13</x:v>
      </x:c>
      <x:c r="K47" s="108" t="n">
        <x:v>0.055</x:v>
      </x:c>
      <x:c r="L47" s="108" t="n">
        <x:v>0.618</x:v>
      </x:c>
    </x:row>
    <x:row r="48" ht="15" hidden="0" customHeight="1">
      <x:c r="A48" s="40" t="str">
        <x:v>Southern</x:v>
      </x:c>
      <x:c r="B48" s="40" t="str">
        <x:v>Post-monsoon</x:v>
      </x:c>
      <x:c r="C48" s="40" t="str">
        <x:v>Intensity</x:v>
      </x:c>
      <x:c r="D48" s="40" t="str">
        <x:v>DMI</x:v>
      </x:c>
      <x:c r="E48" s="40" t="n">
        <x:v>31</x:v>
      </x:c>
      <x:c r="F48" s="108" t="n">
        <x:v>-0.217</x:v>
      </x:c>
      <x:c r="G48" s="108" t="n">
        <x:v>0.242</x:v>
      </x:c>
      <x:c r="H48" s="108" t="n">
        <x:v>0.471</x:v>
      </x:c>
      <x:c r="I48" s="40" t="n">
        <x:v>6</x:v>
      </x:c>
      <x:c r="J48" s="40" t="n">
        <x:v>6</x:v>
      </x:c>
      <x:c r="K48" s="108" t="n">
        <x:v>-0.136</x:v>
      </x:c>
      <x:c r="L48" s="108" t="n">
        <x:v>0.351</x:v>
      </x:c>
    </x:row>
    <x:row r="49" ht="15" hidden="0" customHeight="1">
      <x:c r="A49" s="40" t="str">
        <x:v>Southern</x:v>
      </x:c>
      <x:c r="B49" s="40" t="str">
        <x:v>Winter</x:v>
      </x:c>
      <x:c r="C49" s="40" t="str">
        <x:v>Exposure</x:v>
      </x:c>
      <x:c r="D49" s="40" t="str">
        <x:v>ONI</x:v>
      </x:c>
      <x:c r="E49" s="40" t="n">
        <x:v>31</x:v>
      </x:c>
      <x:c r="F49" s="108" t="n">
        <x:v>0.366</x:v>
      </x:c>
      <x:c r="G49" s="108" t="n">
        <x:v>0.043</x:v>
      </x:c>
      <x:c r="H49" s="108" t="n">
        <x:v>0.343</x:v>
      </x:c>
      <x:c r="I49" s="40" t="n">
        <x:v>7</x:v>
      </x:c>
      <x:c r="J49" s="40" t="n">
        <x:v>10</x:v>
      </x:c>
      <x:c r="K49" s="108" t="n">
        <x:v>32.19</x:v>
      </x:c>
      <x:c r="L49" s="108" t="n">
        <x:v>0.137</x:v>
      </x:c>
    </x:row>
    <x:row r="50" ht="15" hidden="0" customHeight="1">
      <x:c r="A50" s="40" t="str">
        <x:v>Southern</x:v>
      </x:c>
      <x:c r="B50" s="40" t="str">
        <x:v>Winter</x:v>
      </x:c>
      <x:c r="C50" s="40" t="str">
        <x:v>Exposure</x:v>
      </x:c>
      <x:c r="D50" s="40" t="str">
        <x:v>DMI</x:v>
      </x:c>
      <x:c r="E50" s="40" t="n">
        <x:v>31</x:v>
      </x:c>
      <x:c r="F50" s="108" t="n">
        <x:v>0.015</x:v>
      </x:c>
      <x:c r="G50" s="108" t="n">
        <x:v>0.938</x:v>
      </x:c>
      <x:c r="H50" s="108" t="n">
        <x:v>0.938</x:v>
      </x:c>
      <x:c r="I50" s="40" t="n">
        <x:v>1</x:v>
      </x:c>
      <x:c r="J50" s="40" t="n">
        <x:v>0</x:v>
      </x:c>
      <x:c r="K50" s="108" t="str">
        <x:v>—</x:v>
      </x:c>
      <x:c r="L50" s="108" t="str">
        <x:v>—</x:v>
      </x:c>
    </x:row>
    <x:row r="51" ht="15" hidden="0" customHeight="1">
      <x:c r="A51" s="40" t="str">
        <x:v>Southern</x:v>
      </x:c>
      <x:c r="B51" s="40" t="str">
        <x:v>Winter</x:v>
      </x:c>
      <x:c r="C51" s="40" t="str">
        <x:v>Intensity</x:v>
      </x:c>
      <x:c r="D51" s="40" t="str">
        <x:v>ONI</x:v>
      </x:c>
      <x:c r="E51" s="40" t="n">
        <x:v>31</x:v>
      </x:c>
      <x:c r="F51" s="108" t="n">
        <x:v>-0.169</x:v>
      </x:c>
      <x:c r="G51" s="108" t="n">
        <x:v>0.365</x:v>
      </x:c>
      <x:c r="H51" s="108" t="n">
        <x:v>0.55</x:v>
      </x:c>
      <x:c r="I51" s="40" t="n">
        <x:v>7</x:v>
      </x:c>
      <x:c r="J51" s="40" t="n">
        <x:v>10</x:v>
      </x:c>
      <x:c r="K51" s="108" t="n">
        <x:v>-0.11</x:v>
      </x:c>
      <x:c r="L51" s="108" t="n">
        <x:v>0.202</x:v>
      </x:c>
    </x:row>
    <x:row r="52" ht="15" hidden="0" customHeight="1">
      <x:c r="A52" s="40" t="str">
        <x:v>Southern</x:v>
      </x:c>
      <x:c r="B52" s="40" t="str">
        <x:v>Winter</x:v>
      </x:c>
      <x:c r="C52" s="40" t="str">
        <x:v>Intensity</x:v>
      </x:c>
      <x:c r="D52" s="40" t="str">
        <x:v>DMI</x:v>
      </x:c>
      <x:c r="E52" s="40" t="n">
        <x:v>31</x:v>
      </x:c>
      <x:c r="F52" s="108" t="n">
        <x:v>-0.263</x:v>
      </x:c>
      <x:c r="G52" s="108" t="n">
        <x:v>0.154</x:v>
      </x:c>
      <x:c r="H52" s="108" t="n">
        <x:v>0.384</x:v>
      </x:c>
      <x:c r="I52" s="40" t="n">
        <x:v>1</x:v>
      </x:c>
      <x:c r="J52" s="40" t="n">
        <x:v>0</x:v>
      </x:c>
      <x:c r="K52" s="108" t="str">
        <x:v>—</x:v>
      </x:c>
      <x:c r="L52" s="108" t="str">
        <x:v>—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e81346262fc443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0" hidden="0" customWidth="1"/>
    <x:col min="4" max="4" width="10" hidden="0" customWidth="1"/>
    <x:col min="5" max="5" width="16" hidden="0" customWidth="1"/>
    <x:col min="6" max="6" width="20" hidden="0" customWidth="1"/>
    <x:col min="7" max="7" width="14" hidden="0" customWidth="1"/>
    <x:col min="8" max="8" width="12" hidden="0" customWidth="1"/>
  </x:cols>
  <x:sheetData>
    <x:row r="1" ht="26" customHeight="1">
      <x:c r="A1" s="18" t="str">
        <x:v>Supplementary Table S6 | Trend and regime-shift statistics for basin and sub-basin MHW metrics</x:v>
      </x:c>
      <x:c r="B1" s="18"/>
      <x:c r="C1" s="18"/>
      <x:c r="D1" s="18"/>
      <x:c r="E1" s="18"/>
      <x:c r="F1" s="18"/>
      <x:c r="G1" s="18"/>
      <x:c r="H1" s="18"/>
    </x:row>
    <x:row r="2" ht="38" customHeight="1">
      <x:c r="A2" s="24" t="str">
        <x:v>Sen slopes are reported per decade. MK denotes the Mann–Kendall test. Pettitt year marks the most likely structural change point. Grid-cell summary: 141/154 cells with significant MHW-day trends and 12/154 with significant mean-intensity trends.</x:v>
      </x:c>
      <x:c r="B2" s="24"/>
      <x:c r="C2" s="24"/>
      <x:c r="D2" s="24"/>
      <x:c r="E2" s="24"/>
      <x:c r="F2" s="24"/>
      <x:c r="G2" s="24"/>
      <x:c r="H2" s="24"/>
    </x:row>
    <x:row r="4" ht="15" hidden="0" customHeight="1">
      <x:c r="A4" s="88" t="str">
        <x:v>Region</x:v>
      </x:c>
      <x:c r="B4" s="88" t="str">
        <x:v>Metric</x:v>
      </x:c>
      <x:c r="C4" s="88" t="str">
        <x:v>MK tau</x:v>
      </x:c>
      <x:c r="D4" s="88" t="str">
        <x:v>MK p</x:v>
      </x:c>
      <x:c r="E4" s="88" t="str">
        <x:v>Sen slope dec⁻¹</x:v>
      </x:c>
      <x:c r="F4" s="88" t="str">
        <x:v>95% CI</x:v>
      </x:c>
      <x:c r="G4" s="88" t="str">
        <x:v>Pettitt year</x:v>
      </x:c>
      <x:c r="H4" s="88" t="str">
        <x:v>Pettitt p</x:v>
      </x:c>
    </x:row>
    <x:row r="5" ht="15" hidden="0" customHeight="1">
      <x:c r="A5" s="40" t="str">
        <x:v>Basin</x:v>
      </x:c>
      <x:c r="B5" s="40" t="str">
        <x:v>Event frequency</x:v>
      </x:c>
      <x:c r="C5" s="108" t="n">
        <x:v>0.437</x:v>
      </x:c>
      <x:c r="D5" s="108" t="str">
        <x:v>&lt;0.001</x:v>
      </x:c>
      <x:c r="E5" s="108" t="n">
        <x:v>1.245</x:v>
      </x:c>
      <x:c r="F5" s="40" t="str">
        <x:v>0.450 to 1.859</x:v>
      </x:c>
      <x:c r="G5" s="40" t="n">
        <x:v>2013</x:v>
      </x:c>
      <x:c r="H5" s="108" t="n">
        <x:v>0.006</x:v>
      </x:c>
    </x:row>
    <x:row r="6" ht="15" hidden="0" customHeight="1">
      <x:c r="A6" s="40" t="str">
        <x:v>Basin</x:v>
      </x:c>
      <x:c r="B6" s="40" t="str">
        <x:v>MHW days</x:v>
      </x:c>
      <x:c r="C6" s="108" t="n">
        <x:v>0.523</x:v>
      </x:c>
      <x:c r="D6" s="108" t="str">
        <x:v>&lt;0.001</x:v>
      </x:c>
      <x:c r="E6" s="108" t="n">
        <x:v>15.484</x:v>
      </x:c>
      <x:c r="F6" s="40" t="str">
        <x:v>7.313 to 27.472</x:v>
      </x:c>
      <x:c r="G6" s="40" t="n">
        <x:v>2013</x:v>
      </x:c>
      <x:c r="H6" s="108" t="str">
        <x:v>&lt;0.001</x:v>
      </x:c>
    </x:row>
    <x:row r="7" ht="15" hidden="0" customHeight="1">
      <x:c r="A7" s="40" t="str">
        <x:v>Basin</x:v>
      </x:c>
      <x:c r="B7" s="40" t="str">
        <x:v>Mean intensity</x:v>
      </x:c>
      <x:c r="C7" s="108" t="n">
        <x:v>-0.265</x:v>
      </x:c>
      <x:c r="D7" s="108" t="n">
        <x:v>0.038</x:v>
      </x:c>
      <x:c r="E7" s="108" t="n">
        <x:v>-0.016</x:v>
      </x:c>
      <x:c r="F7" s="40" t="str">
        <x:v>−0.034 to −0.001</x:v>
      </x:c>
      <x:c r="G7" s="40" t="n">
        <x:v>2005</x:v>
      </x:c>
      <x:c r="H7" s="108" t="n">
        <x:v>0.09</x:v>
      </x:c>
    </x:row>
    <x:row r="8" ht="15" hidden="0" customHeight="1">
      <x:c r="A8" s="40" t="str">
        <x:v>Basin</x:v>
      </x:c>
      <x:c r="B8" s="40" t="str">
        <x:v>Cumulative intensity</x:v>
      </x:c>
      <x:c r="C8" s="108" t="n">
        <x:v>0.514</x:v>
      </x:c>
      <x:c r="D8" s="108" t="str">
        <x:v>&lt;0.001</x:v>
      </x:c>
      <x:c r="E8" s="108" t="n">
        <x:v>15.919</x:v>
      </x:c>
      <x:c r="F8" s="40" t="str">
        <x:v>8.230 to 32.345</x:v>
      </x:c>
      <x:c r="G8" s="40" t="n">
        <x:v>2013</x:v>
      </x:c>
      <x:c r="H8" s="108" t="str">
        <x:v>&lt;0.001</x:v>
      </x:c>
    </x:row>
    <x:row r="9" ht="15" hidden="0" customHeight="1">
      <x:c r="A9" s="40" t="str">
        <x:v>Northern</x:v>
      </x:c>
      <x:c r="B9" s="40" t="str">
        <x:v>Event frequency</x:v>
      </x:c>
      <x:c r="C9" s="108" t="n">
        <x:v>0.419</x:v>
      </x:c>
      <x:c r="D9" s="108" t="str">
        <x:v>&lt;0.001</x:v>
      </x:c>
      <x:c r="E9" s="108" t="n">
        <x:v>1.051</x:v>
      </x:c>
      <x:c r="F9" s="40" t="str">
        <x:v>0.415 to 2.041</x:v>
      </x:c>
      <x:c r="G9" s="40" t="n">
        <x:v>2013</x:v>
      </x:c>
      <x:c r="H9" s="108" t="n">
        <x:v>0.014</x:v>
      </x:c>
    </x:row>
    <x:row r="10" ht="15" hidden="0" customHeight="1">
      <x:c r="A10" s="40" t="str">
        <x:v>Northern</x:v>
      </x:c>
      <x:c r="B10" s="40" t="str">
        <x:v>MHW days</x:v>
      </x:c>
      <x:c r="C10" s="108" t="n">
        <x:v>0.475</x:v>
      </x:c>
      <x:c r="D10" s="108" t="str">
        <x:v>&lt;0.001</x:v>
      </x:c>
      <x:c r="E10" s="108" t="n">
        <x:v>15.175</x:v>
      </x:c>
      <x:c r="F10" s="40" t="str">
        <x:v>7.122 to 30.174</x:v>
      </x:c>
      <x:c r="G10" s="40" t="n">
        <x:v>2013</x:v>
      </x:c>
      <x:c r="H10" s="108" t="n">
        <x:v>0.004</x:v>
      </x:c>
    </x:row>
    <x:row r="11" ht="15" hidden="0" customHeight="1">
      <x:c r="A11" s="40" t="str">
        <x:v>Northern</x:v>
      </x:c>
      <x:c r="B11" s="40" t="str">
        <x:v>Mean intensity</x:v>
      </x:c>
      <x:c r="C11" s="108" t="n">
        <x:v>0.032</x:v>
      </x:c>
      <x:c r="D11" s="108" t="n">
        <x:v>0.812</x:v>
      </x:c>
      <x:c r="E11" s="108" t="n">
        <x:v>0.003</x:v>
      </x:c>
      <x:c r="F11" s="40" t="str">
        <x:v>−0.016 to 0.025</x:v>
      </x:c>
      <x:c r="G11" s="40" t="n">
        <x:v>1997</x:v>
      </x:c>
      <x:c r="H11" s="108" t="n">
        <x:v>1</x:v>
      </x:c>
    </x:row>
    <x:row r="12" ht="15" hidden="0" customHeight="1">
      <x:c r="A12" s="40" t="str">
        <x:v>Northern</x:v>
      </x:c>
      <x:c r="B12" s="40" t="str">
        <x:v>Cumulative intensity</x:v>
      </x:c>
      <x:c r="C12" s="108" t="n">
        <x:v>0.462</x:v>
      </x:c>
      <x:c r="D12" s="108" t="str">
        <x:v>&lt;0.001</x:v>
      </x:c>
      <x:c r="E12" s="108" t="n">
        <x:v>19.516</x:v>
      </x:c>
      <x:c r="F12" s="40" t="str">
        <x:v>7.762 to 37.887</x:v>
      </x:c>
      <x:c r="G12" s="40" t="n">
        <x:v>2013</x:v>
      </x:c>
      <x:c r="H12" s="108" t="n">
        <x:v>0.004</x:v>
      </x:c>
    </x:row>
    <x:row r="13" ht="15" hidden="0" customHeight="1">
      <x:c r="A13" s="40" t="str">
        <x:v>Central</x:v>
      </x:c>
      <x:c r="B13" s="40" t="str">
        <x:v>Event frequency</x:v>
      </x:c>
      <x:c r="C13" s="108" t="n">
        <x:v>0.376</x:v>
      </x:c>
      <x:c r="D13" s="108" t="n">
        <x:v>0.003</x:v>
      </x:c>
      <x:c r="E13" s="108" t="n">
        <x:v>1.239</x:v>
      </x:c>
      <x:c r="F13" s="40" t="str">
        <x:v>0.302 to 2.003</x:v>
      </x:c>
      <x:c r="G13" s="40" t="n">
        <x:v>2014</x:v>
      </x:c>
      <x:c r="H13" s="108" t="n">
        <x:v>0.017</x:v>
      </x:c>
    </x:row>
    <x:row r="14" ht="15" hidden="0" customHeight="1">
      <x:c r="A14" s="40" t="str">
        <x:v>Central</x:v>
      </x:c>
      <x:c r="B14" s="40" t="str">
        <x:v>MHW days</x:v>
      </x:c>
      <x:c r="C14" s="108" t="n">
        <x:v>0.462</x:v>
      </x:c>
      <x:c r="D14" s="108" t="str">
        <x:v>&lt;0.001</x:v>
      </x:c>
      <x:c r="E14" s="108" t="n">
        <x:v>16.113</x:v>
      </x:c>
      <x:c r="F14" s="40" t="str">
        <x:v>5.502 to 29.005</x:v>
      </x:c>
      <x:c r="G14" s="40" t="n">
        <x:v>2014</x:v>
      </x:c>
      <x:c r="H14" s="108" t="n">
        <x:v>0.004</x:v>
      </x:c>
    </x:row>
    <x:row r="15" ht="15" hidden="0" customHeight="1">
      <x:c r="A15" s="40" t="str">
        <x:v>Central</x:v>
      </x:c>
      <x:c r="B15" s="40" t="str">
        <x:v>Mean intensity</x:v>
      </x:c>
      <x:c r="C15" s="108" t="n">
        <x:v>-0.187</x:v>
      </x:c>
      <x:c r="D15" s="108" t="n">
        <x:v>0.144</x:v>
      </x:c>
      <x:c r="E15" s="108" t="n">
        <x:v>-0.022</x:v>
      </x:c>
      <x:c r="F15" s="40" t="str">
        <x:v>−0.049 to 0.004</x:v>
      </x:c>
      <x:c r="G15" s="40" t="n">
        <x:v>2005</x:v>
      </x:c>
      <x:c r="H15" s="108" t="n">
        <x:v>0.284</x:v>
      </x:c>
    </x:row>
    <x:row r="16" ht="15" hidden="0" customHeight="1">
      <x:c r="A16" s="40" t="str">
        <x:v>Central</x:v>
      </x:c>
      <x:c r="B16" s="40" t="str">
        <x:v>Cumulative intensity</x:v>
      </x:c>
      <x:c r="C16" s="108" t="n">
        <x:v>0.432</x:v>
      </x:c>
      <x:c r="D16" s="108" t="str">
        <x:v>&lt;0.001</x:v>
      </x:c>
      <x:c r="E16" s="108" t="n">
        <x:v>19.2</x:v>
      </x:c>
      <x:c r="F16" s="40" t="str">
        <x:v>4.979 to 32.239</x:v>
      </x:c>
      <x:c r="G16" s="40" t="n">
        <x:v>2014</x:v>
      </x:c>
      <x:c r="H16" s="108" t="n">
        <x:v>0.006</x:v>
      </x:c>
    </x:row>
    <x:row r="17" ht="15" hidden="0" customHeight="1">
      <x:c r="A17" s="40" t="str">
        <x:v>Southern</x:v>
      </x:c>
      <x:c r="B17" s="40" t="str">
        <x:v>Event frequency</x:v>
      </x:c>
      <x:c r="C17" s="108" t="n">
        <x:v>0.415</x:v>
      </x:c>
      <x:c r="D17" s="108" t="n">
        <x:v>0.001</x:v>
      </x:c>
      <x:c r="E17" s="108" t="n">
        <x:v>1.061</x:v>
      </x:c>
      <x:c r="F17" s="40" t="str">
        <x:v>0.403 to 1.634</x:v>
      </x:c>
      <x:c r="G17" s="40" t="n">
        <x:v>2012</x:v>
      </x:c>
      <x:c r="H17" s="108" t="n">
        <x:v>0.007</x:v>
      </x:c>
    </x:row>
    <x:row r="18" ht="15" hidden="0" customHeight="1">
      <x:c r="A18" s="40" t="str">
        <x:v>Southern</x:v>
      </x:c>
      <x:c r="B18" s="40" t="str">
        <x:v>MHW days</x:v>
      </x:c>
      <x:c r="C18" s="108" t="n">
        <x:v>0.497</x:v>
      </x:c>
      <x:c r="D18" s="108" t="str">
        <x:v>&lt;0.001</x:v>
      </x:c>
      <x:c r="E18" s="108" t="n">
        <x:v>11.502</x:v>
      </x:c>
      <x:c r="F18" s="40" t="str">
        <x:v>5.982 to 22.925</x:v>
      </x:c>
      <x:c r="G18" s="40" t="n">
        <x:v>2012</x:v>
      </x:c>
      <x:c r="H18" s="108" t="str">
        <x:v>&lt;0.001</x:v>
      </x:c>
    </x:row>
    <x:row r="19" ht="15" hidden="0" customHeight="1">
      <x:c r="A19" s="40" t="str">
        <x:v>Southern</x:v>
      </x:c>
      <x:c r="B19" s="40" t="str">
        <x:v>Mean intensity</x:v>
      </x:c>
      <x:c r="C19" s="108" t="n">
        <x:v>-0.346</x:v>
      </x:c>
      <x:c r="D19" s="108" t="n">
        <x:v>0.007</x:v>
      </x:c>
      <x:c r="E19" s="108" t="n">
        <x:v>-0.04</x:v>
      </x:c>
      <x:c r="F19" s="40" t="str">
        <x:v>−0.067 to −0.013</x:v>
      </x:c>
      <x:c r="G19" s="40" t="n">
        <x:v>2005</x:v>
      </x:c>
      <x:c r="H19" s="108" t="n">
        <x:v>0.035</x:v>
      </x:c>
    </x:row>
    <x:row r="20" ht="15" hidden="0" customHeight="1">
      <x:c r="A20" s="40" t="str">
        <x:v>Southern</x:v>
      </x:c>
      <x:c r="B20" s="40" t="str">
        <x:v>Cumulative intensity</x:v>
      </x:c>
      <x:c r="C20" s="108" t="n">
        <x:v>0.454</x:v>
      </x:c>
      <x:c r="D20" s="108" t="str">
        <x:v>&lt;0.001</x:v>
      </x:c>
      <x:c r="E20" s="108" t="n">
        <x:v>11.987</x:v>
      </x:c>
      <x:c r="F20" s="40" t="str">
        <x:v>5.239 to 22.037</x:v>
      </x:c>
      <x:c r="G20" s="40" t="n">
        <x:v>2012</x:v>
      </x:c>
      <x:c r="H20" s="108" t="n">
        <x:v>0.003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957437b6e544f03"/>
  <x:tableParts count="1">
    <x:tablePart xmlns:r="http://schemas.openxmlformats.org/officeDocument/2006/relationships" r:id="R488a9b9b6dc74c2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 ht="26" customHeight="1">
      <x:c r="A1" s="18" t="str">
        <x:v>Data Dictionary</x:v>
      </x:c>
      <x:c r="B1" s="18"/>
    </x:row>
    <x:row r="2" ht="32" customHeight="1">
      <x:c r="A2" s="24" t="str">
        <x:v>Definitions and abbreviations used across Supplementary Tables S1–S6.</x:v>
      </x:c>
      <x:c r="B2" s="24"/>
    </x:row>
    <x:row r="4" ht="15" hidden="0" customHeight="1">
      <x:c r="A4" s="32" t="str">
        <x:v>Term</x:v>
      </x:c>
      <x:c r="B4" s="32" t="str">
        <x:v>Definition</x:v>
      </x:c>
    </x:row>
    <x:row r="5" ht="15" hidden="0" customHeight="1">
      <x:c r="A5" s="40" t="str">
        <x:v>BoB</x:v>
      </x:c>
      <x:c r="B5" s="40" t="str">
        <x:v>Bay of Bengal</x:v>
      </x:c>
    </x:row>
    <x:row r="6" ht="15" hidden="0" customHeight="1">
      <x:c r="A6" s="40" t="str">
        <x:v>MHW</x:v>
      </x:c>
      <x:c r="B6" s="40" t="str">
        <x:v>Marine heatwave</x:v>
      </x:c>
    </x:row>
    <x:row r="7" ht="15" hidden="0" customHeight="1">
      <x:c r="A7" s="40" t="str">
        <x:v>OISST</x:v>
      </x:c>
      <x:c r="B7" s="40" t="str">
        <x:v>NOAA Optimum Interpolation Sea Surface Temperature</x:v>
      </x:c>
    </x:row>
    <x:row r="8" ht="15" hidden="0" customHeight="1">
      <x:c r="A8" s="40" t="str">
        <x:v>ONI</x:v>
      </x:c>
      <x:c r="B8" s="40" t="str">
        <x:v>Oceanic Niño Index</x:v>
      </x:c>
    </x:row>
    <x:row r="9" ht="15" hidden="0" customHeight="1">
      <x:c r="A9" s="40" t="str">
        <x:v>DMI</x:v>
      </x:c>
      <x:c r="B9" s="40" t="str">
        <x:v>Dipole Mode Index</x:v>
      </x:c>
    </x:row>
    <x:row r="10" ht="15" hidden="0" customHeight="1">
      <x:c r="A10" s="40" t="str">
        <x:v>IOD</x:v>
      </x:c>
      <x:c r="B10" s="40" t="str">
        <x:v>Indian Ocean Dipole</x:v>
      </x:c>
    </x:row>
    <x:row r="11" ht="15" hidden="0" customHeight="1">
      <x:c r="A11" s="40" t="str">
        <x:v>ENSO</x:v>
      </x:c>
      <x:c r="B11" s="40" t="str">
        <x:v>El Niño–Southern Oscillation</x:v>
      </x:c>
    </x:row>
    <x:row r="12" ht="15" hidden="0" customHeight="1">
      <x:c r="A12" s="40" t="str">
        <x:v>CMEMS</x:v>
      </x:c>
      <x:c r="B12" s="40" t="str">
        <x:v>Copernicus Marine Service</x:v>
      </x:c>
    </x:row>
    <x:row r="13" ht="15" hidden="0" customHeight="1">
      <x:c r="A13" s="40" t="str">
        <x:v>MLD</x:v>
      </x:c>
      <x:c r="B13" s="40" t="str">
        <x:v>Mixed-layer depth</x:v>
      </x:c>
    </x:row>
    <x:row r="14" ht="15" hidden="0" customHeight="1">
      <x:c r="A14" s="40" t="str">
        <x:v>N²</x:v>
      </x:c>
      <x:c r="B14" s="40" t="str">
        <x:v>Brunt–Väisälä frequency</x:v>
      </x:c>
    </x:row>
    <x:row r="15" ht="15" hidden="0" customHeight="1">
      <x:c r="A15" s="40" t="str">
        <x:v>DO</x:v>
      </x:c>
      <x:c r="B15" s="40" t="str">
        <x:v>Dissolved oxygen</x:v>
      </x:c>
    </x:row>
    <x:row r="16" ht="15" hidden="0" customHeight="1">
      <x:c r="A16" s="40" t="str">
        <x:v>NO₃⁻</x:v>
      </x:c>
      <x:c r="B16" s="40" t="str">
        <x:v>Nitrate</x:v>
      </x:c>
    </x:row>
    <x:row r="17" ht="15" hidden="0" customHeight="1">
      <x:c r="A17" s="40" t="str">
        <x:v>PO₄³⁻</x:v>
      </x:c>
      <x:c r="B17" s="40" t="str">
        <x:v>Phosphate</x:v>
      </x:c>
    </x:row>
    <x:row r="18" ht="15" hidden="0" customHeight="1">
      <x:c r="A18" s="40" t="str">
        <x:v>Si</x:v>
      </x:c>
      <x:c r="B18" s="40" t="str">
        <x:v>Silicate</x:v>
      </x:c>
    </x:row>
    <x:row r="19" ht="15" hidden="0" customHeight="1">
      <x:c r="A19" s="40" t="str">
        <x:v>Delta</x:v>
      </x:c>
      <x:c r="B19" s="40" t="str">
        <x:v>Mean difference between MHW and same-season non-MHW composites</x:v>
      </x:c>
    </x:row>
    <x:row r="20" ht="15" hidden="0" customHeight="1">
      <x:c r="A20" s="40" t="str">
        <x:v>Hedges g</x:v>
      </x:c>
      <x:c r="B20" s="40" t="str">
        <x:v>Standardized effect size for comparing MHW and non-MHW states</x:v>
      </x:c>
    </x:row>
    <x:row r="21" ht="15" hidden="0" customHeight="1">
      <x:c r="A21" s="40" t="str">
        <x:v>MK</x:v>
      </x:c>
      <x:c r="B21" s="40" t="str">
        <x:v>Mann–Kendall trend test</x:v>
      </x:c>
    </x:row>
    <x:row r="22" ht="15" hidden="0" customHeight="1">
      <x:c r="A22" s="40" t="str">
        <x:v>Sen slope</x:v>
      </x:c>
      <x:c r="B22" s="40" t="str">
        <x:v>Theil–Sen trend estimate per decade</x:v>
      </x:c>
    </x:row>
    <x:row r="23" ht="15" hidden="0" customHeight="1">
      <x:c r="A23" s="40" t="str">
        <x:v>Pettitt</x:v>
      </x:c>
      <x:c r="B23" s="40" t="str">
        <x:v>Non-parametric structural change-point test</x:v>
      </x:c>
    </x:row>
    <x:row r="24" ht="15" hidden="0" customHeight="1">
      <x:c r="A24" s="40" t="str">
        <x:v>FDR</x:v>
      </x:c>
      <x:c r="B24" s="40" t="str">
        <x:v>False discovery rate</x:v>
      </x:c>
    </x:row>
    <x:row r="25" ht="15" hidden="0" customHeight="1">
      <x:c r="A25" s="40" t="str">
        <x:v>nMHW</x:v>
      </x:c>
      <x:c r="B25" s="40" t="str">
        <x:v>Number of MHW event-window composites</x:v>
      </x:c>
    </x:row>
    <x:row r="26" ht="15" hidden="0" customHeight="1">
      <x:c r="A26" s="40" t="str">
        <x:v>nNon</x:v>
      </x:c>
      <x:c r="B26" s="40" t="str">
        <x:v>Number of same-season non-MHW composites</x:v>
      </x:c>
    </x:row>
    <x:row r="27" ht="15" hidden="0" customHeight="1">
      <x:c r="A27" s="40" t="str">
        <x:v>n+ / n−</x:v>
      </x:c>
      <x:c r="B27" s="40" t="str">
        <x:v>Positive-phase and negative-phase climate years used in phase-composite contrasts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c323c5d06bbb4fb1"/>
  </x:tableParts>
</x:worksheet>
</file>